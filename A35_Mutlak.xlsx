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7A779604-4D12-4E2E-98D5-446F668ADF11}" xr6:coauthVersionLast="46" xr6:coauthVersionMax="46" xr10:uidLastSave="{00000000-0000-0000-0000-000000000000}"/>
  <bookViews>
    <workbookView xWindow="-120" yWindow="-120" windowWidth="24240" windowHeight="13140" xr2:uid="{17E7E78F-0AFD-4991-9943-6C6267C6DEAD}"/>
  </bookViews>
  <sheets>
    <sheet name="Sayfa1" sheetId="1" r:id="rId1"/>
    <sheet name="Sayf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H10" i="1" s="1"/>
  <c r="E11" i="1"/>
  <c r="E12" i="1"/>
  <c r="E13" i="1"/>
  <c r="E14" i="1"/>
  <c r="H14" i="1" s="1"/>
  <c r="E15" i="1"/>
  <c r="E16" i="1"/>
  <c r="E17" i="1"/>
  <c r="E18" i="1"/>
  <c r="H18" i="1" s="1"/>
  <c r="E3" i="5"/>
  <c r="E4" i="5"/>
  <c r="E5" i="5"/>
  <c r="E6" i="5"/>
  <c r="H6" i="5" s="1"/>
  <c r="E7" i="5"/>
  <c r="E8" i="5"/>
  <c r="E9" i="5"/>
  <c r="E10" i="5"/>
  <c r="H10" i="5" s="1"/>
  <c r="E11" i="5"/>
  <c r="E12" i="5"/>
  <c r="E13" i="5"/>
  <c r="E14" i="5"/>
  <c r="E15" i="5"/>
  <c r="E16" i="5"/>
  <c r="E17" i="5"/>
  <c r="E18" i="5"/>
  <c r="H18" i="5" s="1"/>
  <c r="E2" i="5"/>
  <c r="H2" i="5" s="1"/>
  <c r="H14" i="5"/>
  <c r="H16" i="5"/>
  <c r="H6" i="1"/>
  <c r="E2" i="1"/>
  <c r="H2" i="1" s="1"/>
  <c r="H17" i="5"/>
  <c r="H15" i="5"/>
  <c r="H13" i="5"/>
  <c r="H12" i="5"/>
  <c r="H11" i="5"/>
  <c r="H9" i="5"/>
  <c r="H8" i="5"/>
  <c r="H7" i="5"/>
  <c r="H5" i="5"/>
  <c r="H4" i="5"/>
  <c r="H3" i="5"/>
  <c r="H4" i="1"/>
  <c r="H8" i="1"/>
  <c r="H12" i="1"/>
  <c r="H16" i="1"/>
  <c r="H3" i="1"/>
  <c r="H5" i="1"/>
  <c r="H7" i="1"/>
  <c r="H9" i="1"/>
  <c r="H11" i="1"/>
  <c r="H13" i="1"/>
  <c r="H15" i="1"/>
  <c r="H17" i="1"/>
</calcChain>
</file>

<file path=xl/sharedStrings.xml><?xml version="1.0" encoding="utf-8"?>
<sst xmlns="http://schemas.openxmlformats.org/spreadsheetml/2006/main" count="16" uniqueCount="8">
  <si>
    <t>Ürünler</t>
  </si>
  <si>
    <t>Hava Durumu</t>
  </si>
  <si>
    <t>Tüketilen Enerji Saat</t>
  </si>
  <si>
    <t>Oda Sıcaklığı</t>
  </si>
  <si>
    <t>Birim Tüketim Bedeli Saat</t>
  </si>
  <si>
    <t>Gün</t>
  </si>
  <si>
    <t>Saat</t>
  </si>
  <si>
    <t>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</si>
</sst>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#,##0.00\ &quot;TL&quot;;\-#,##0.00\ &quot;TL&quot;"/>
    <numFmt numFmtId="44" formatCode="_-* #,##0.00\ &quot;TL&quot;_-;\-* #,##0.00\ &quot;TL&quot;_-;_-* &quot;-&quot;??\ &quot;TL&quot;_-;_-@_-"/>
    <numFmt numFmtId="43" formatCode="_-* #,##0.00_-;\-* #,##0.00_-;_-* &quot;-&quot;??_-;_-@_-"/>
    <numFmt numFmtId="165" formatCode="_-* #,##0.000_-;\-* #,##0.000_-;_-* &quot;-&quot;??_-;_-@_-"/>
  </numFmts>
  <fonts count="3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9" fontId="0" fillId="2" borderId="0" xfId="3" applyFont="1" applyFill="1" applyAlignment="1">
      <alignment horizontal="center"/>
    </xf>
    <xf numFmtId="9" fontId="0" fillId="0" borderId="0" xfId="3" applyFont="1" applyAlignment="1">
      <alignment horizontal="center"/>
    </xf>
    <xf numFmtId="4" fontId="0" fillId="2" borderId="0" xfId="1" applyNumberFormat="1" applyFont="1" applyFill="1" applyAlignment="1">
      <alignment horizontal="center"/>
    </xf>
    <xf numFmtId="4" fontId="0" fillId="0" borderId="0" xfId="1" applyNumberFormat="1" applyFont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7" fontId="0" fillId="0" borderId="1" xfId="2" applyNumberFormat="1" applyFont="1" applyBorder="1" applyAlignment="1">
      <alignment horizontal="right"/>
    </xf>
  </cellXfs>
  <cellStyles count="4">
    <cellStyle name="Normal" xfId="0" builtinId="0"/>
    <cellStyle name="ParaBirimi" xfId="2" builtinId="4"/>
    <cellStyle name="Virgül" xfId="1" builtinId="3"/>
    <cellStyle name="Yüzd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CBB6-8AAA-4396-8D09-C4FBCB0FD072}">
  <dimension ref="A1:H18"/>
  <sheetViews>
    <sheetView showGridLines="0" tabSelected="1" zoomScale="115" zoomScaleNormal="115" workbookViewId="0">
      <selection activeCell="E7" sqref="E7"/>
    </sheetView>
  </sheetViews>
  <sheetFormatPr defaultRowHeight="15" x14ac:dyDescent="0.25"/>
  <cols>
    <col min="1" max="1" width="13" customWidth="1"/>
    <col min="2" max="2" width="12.85546875" style="4" bestFit="1" customWidth="1"/>
    <col min="3" max="3" width="12.85546875" style="4" customWidth="1"/>
    <col min="4" max="4" width="24.140625" style="7" bestFit="1" customWidth="1"/>
    <col min="5" max="5" width="19.42578125" style="9" bestFit="1" customWidth="1"/>
    <col min="6" max="7" width="12.85546875" style="4" customWidth="1"/>
    <col min="8" max="8" width="19.42578125" style="9" bestFit="1" customWidth="1"/>
  </cols>
  <sheetData>
    <row r="1" spans="1:8" x14ac:dyDescent="0.25">
      <c r="A1" s="1" t="s">
        <v>0</v>
      </c>
      <c r="B1" s="2" t="s">
        <v>1</v>
      </c>
      <c r="C1" s="2" t="s">
        <v>3</v>
      </c>
      <c r="D1" s="6" t="s">
        <v>4</v>
      </c>
      <c r="E1" s="8" t="s">
        <v>2</v>
      </c>
      <c r="F1" s="2" t="s">
        <v>5</v>
      </c>
      <c r="G1" s="2" t="s">
        <v>6</v>
      </c>
      <c r="H1" s="8" t="s">
        <v>7</v>
      </c>
    </row>
    <row r="2" spans="1:8" x14ac:dyDescent="0.25">
      <c r="A2" s="5">
        <v>44299</v>
      </c>
      <c r="B2" s="3">
        <v>-13</v>
      </c>
      <c r="C2" s="3">
        <v>24</v>
      </c>
      <c r="D2" s="10">
        <v>2.5000000000000001E-2</v>
      </c>
      <c r="E2" s="11">
        <f>B2/100*C2*D2*30</f>
        <v>-2.3400000000000003</v>
      </c>
      <c r="F2" s="3">
        <v>30</v>
      </c>
      <c r="G2" s="3">
        <v>24</v>
      </c>
      <c r="H2" s="11">
        <f>E2*F2*G2</f>
        <v>-1684.8000000000002</v>
      </c>
    </row>
    <row r="3" spans="1:8" x14ac:dyDescent="0.25">
      <c r="A3" s="5">
        <v>44297</v>
      </c>
      <c r="B3" s="3">
        <v>-11</v>
      </c>
      <c r="C3" s="3">
        <v>24</v>
      </c>
      <c r="D3" s="10">
        <v>2.7E-2</v>
      </c>
      <c r="E3" s="11">
        <f t="shared" ref="E3:E18" si="0">B3/100*C3*D3*30</f>
        <v>-2.1383999999999999</v>
      </c>
      <c r="F3" s="3">
        <v>30</v>
      </c>
      <c r="G3" s="3">
        <v>24</v>
      </c>
      <c r="H3" s="11">
        <f t="shared" ref="H3:H18" si="1">E3*F3*G3</f>
        <v>-1539.6480000000001</v>
      </c>
    </row>
    <row r="4" spans="1:8" x14ac:dyDescent="0.25">
      <c r="A4" s="5">
        <v>44296</v>
      </c>
      <c r="B4" s="3">
        <v>-10</v>
      </c>
      <c r="C4" s="3">
        <v>24</v>
      </c>
      <c r="D4" s="10">
        <v>2.9000000000000001E-2</v>
      </c>
      <c r="E4" s="11">
        <f t="shared" si="0"/>
        <v>-2.0880000000000001</v>
      </c>
      <c r="F4" s="3">
        <v>30</v>
      </c>
      <c r="G4" s="3">
        <v>24</v>
      </c>
      <c r="H4" s="11">
        <f t="shared" si="1"/>
        <v>-1503.3600000000001</v>
      </c>
    </row>
    <row r="5" spans="1:8" x14ac:dyDescent="0.25">
      <c r="A5" s="5">
        <v>44294</v>
      </c>
      <c r="B5" s="3">
        <v>-8</v>
      </c>
      <c r="C5" s="3">
        <v>24</v>
      </c>
      <c r="D5" s="10">
        <v>3.4000000000000002E-2</v>
      </c>
      <c r="E5" s="11">
        <f t="shared" si="0"/>
        <v>-1.9584000000000001</v>
      </c>
      <c r="F5" s="3">
        <v>30</v>
      </c>
      <c r="G5" s="3">
        <v>24</v>
      </c>
      <c r="H5" s="11">
        <f t="shared" si="1"/>
        <v>-1410.048</v>
      </c>
    </row>
    <row r="6" spans="1:8" x14ac:dyDescent="0.25">
      <c r="A6" s="5">
        <v>44293</v>
      </c>
      <c r="B6" s="3">
        <v>-7</v>
      </c>
      <c r="C6" s="3">
        <v>24</v>
      </c>
      <c r="D6" s="10">
        <v>3.7999999999999999E-2</v>
      </c>
      <c r="E6" s="11">
        <f t="shared" si="0"/>
        <v>-1.9152000000000002</v>
      </c>
      <c r="F6" s="3">
        <v>30</v>
      </c>
      <c r="G6" s="3">
        <v>24</v>
      </c>
      <c r="H6" s="11">
        <f t="shared" si="1"/>
        <v>-1378.9440000000002</v>
      </c>
    </row>
    <row r="7" spans="1:8" x14ac:dyDescent="0.25">
      <c r="A7" s="5">
        <v>44291</v>
      </c>
      <c r="B7" s="3">
        <v>-5</v>
      </c>
      <c r="C7" s="3">
        <v>24</v>
      </c>
      <c r="D7" s="10">
        <v>4.8000000000000001E-2</v>
      </c>
      <c r="E7" s="11">
        <f t="shared" si="0"/>
        <v>-1.7280000000000004</v>
      </c>
      <c r="F7" s="3">
        <v>30</v>
      </c>
      <c r="G7" s="3">
        <v>24</v>
      </c>
      <c r="H7" s="11">
        <f t="shared" si="1"/>
        <v>-1244.1600000000003</v>
      </c>
    </row>
    <row r="8" spans="1:8" x14ac:dyDescent="0.25">
      <c r="A8" s="5">
        <v>44290</v>
      </c>
      <c r="B8" s="3">
        <v>-4</v>
      </c>
      <c r="C8" s="3">
        <v>24</v>
      </c>
      <c r="D8" s="10">
        <v>5.5E-2</v>
      </c>
      <c r="E8" s="11">
        <f t="shared" si="0"/>
        <v>-1.5840000000000001</v>
      </c>
      <c r="F8" s="3">
        <v>30</v>
      </c>
      <c r="G8" s="3">
        <v>24</v>
      </c>
      <c r="H8" s="11">
        <f t="shared" si="1"/>
        <v>-1140.48</v>
      </c>
    </row>
    <row r="9" spans="1:8" x14ac:dyDescent="0.25">
      <c r="A9" s="5">
        <v>44288</v>
      </c>
      <c r="B9" s="3">
        <v>-2</v>
      </c>
      <c r="C9" s="3">
        <v>24</v>
      </c>
      <c r="D9" s="10">
        <v>0.105</v>
      </c>
      <c r="E9" s="11">
        <f t="shared" si="0"/>
        <v>-1.5119999999999998</v>
      </c>
      <c r="F9" s="3">
        <v>30</v>
      </c>
      <c r="G9" s="3">
        <v>24</v>
      </c>
      <c r="H9" s="11">
        <f t="shared" si="1"/>
        <v>-1088.6399999999999</v>
      </c>
    </row>
    <row r="10" spans="1:8" x14ac:dyDescent="0.25">
      <c r="A10" s="5">
        <v>44287</v>
      </c>
      <c r="B10" s="3">
        <v>-1</v>
      </c>
      <c r="C10" s="3">
        <v>24</v>
      </c>
      <c r="D10" s="10">
        <v>0.20499999999999999</v>
      </c>
      <c r="E10" s="11">
        <f t="shared" si="0"/>
        <v>-1.4759999999999998</v>
      </c>
      <c r="F10" s="3">
        <v>30</v>
      </c>
      <c r="G10" s="3">
        <v>24</v>
      </c>
      <c r="H10" s="11">
        <f t="shared" si="1"/>
        <v>-1062.7199999999998</v>
      </c>
    </row>
    <row r="11" spans="1:8" x14ac:dyDescent="0.25">
      <c r="A11" s="5">
        <v>44302</v>
      </c>
      <c r="B11" s="3">
        <v>1</v>
      </c>
      <c r="C11" s="3">
        <v>24</v>
      </c>
      <c r="D11" s="10">
        <v>0.19</v>
      </c>
      <c r="E11" s="11">
        <f t="shared" si="0"/>
        <v>1.3680000000000001</v>
      </c>
      <c r="F11" s="3">
        <v>30</v>
      </c>
      <c r="G11" s="3">
        <v>24</v>
      </c>
      <c r="H11" s="11">
        <f t="shared" si="1"/>
        <v>984.96000000000015</v>
      </c>
    </row>
    <row r="12" spans="1:8" x14ac:dyDescent="0.25">
      <c r="A12" s="5">
        <v>44303</v>
      </c>
      <c r="B12" s="3">
        <v>2</v>
      </c>
      <c r="C12" s="3">
        <v>24</v>
      </c>
      <c r="D12" s="10">
        <v>0.09</v>
      </c>
      <c r="E12" s="11">
        <f t="shared" si="0"/>
        <v>1.2959999999999998</v>
      </c>
      <c r="F12" s="3">
        <v>30</v>
      </c>
      <c r="G12" s="3">
        <v>24</v>
      </c>
      <c r="H12" s="11">
        <f t="shared" si="1"/>
        <v>933.11999999999989</v>
      </c>
    </row>
    <row r="13" spans="1:8" x14ac:dyDescent="0.25">
      <c r="A13" s="5">
        <v>44305</v>
      </c>
      <c r="B13" s="3">
        <v>4</v>
      </c>
      <c r="C13" s="3">
        <v>24</v>
      </c>
      <c r="D13" s="10">
        <v>0.04</v>
      </c>
      <c r="E13" s="11">
        <f t="shared" si="0"/>
        <v>1.1519999999999999</v>
      </c>
      <c r="F13" s="3">
        <v>30</v>
      </c>
      <c r="G13" s="3">
        <v>24</v>
      </c>
      <c r="H13" s="11">
        <f t="shared" si="1"/>
        <v>829.43999999999983</v>
      </c>
    </row>
    <row r="14" spans="1:8" x14ac:dyDescent="0.25">
      <c r="A14" s="5">
        <v>44306</v>
      </c>
      <c r="B14" s="3">
        <v>5</v>
      </c>
      <c r="C14" s="3">
        <v>24</v>
      </c>
      <c r="D14" s="10">
        <v>0.03</v>
      </c>
      <c r="E14" s="11">
        <f t="shared" si="0"/>
        <v>1.08</v>
      </c>
      <c r="F14" s="3">
        <v>30</v>
      </c>
      <c r="G14" s="3">
        <v>24</v>
      </c>
      <c r="H14" s="11">
        <f t="shared" si="1"/>
        <v>777.60000000000014</v>
      </c>
    </row>
    <row r="15" spans="1:8" x14ac:dyDescent="0.25">
      <c r="A15" s="5">
        <v>44308</v>
      </c>
      <c r="B15" s="3">
        <v>7</v>
      </c>
      <c r="C15" s="3">
        <v>24</v>
      </c>
      <c r="D15" s="10">
        <v>0.02</v>
      </c>
      <c r="E15" s="11">
        <f t="shared" si="0"/>
        <v>1.0080000000000002</v>
      </c>
      <c r="F15" s="3">
        <v>30</v>
      </c>
      <c r="G15" s="3">
        <v>24</v>
      </c>
      <c r="H15" s="11">
        <f t="shared" si="1"/>
        <v>725.7600000000001</v>
      </c>
    </row>
    <row r="16" spans="1:8" x14ac:dyDescent="0.25">
      <c r="A16" s="5">
        <v>44309</v>
      </c>
      <c r="B16" s="3">
        <v>8</v>
      </c>
      <c r="C16" s="3">
        <v>24</v>
      </c>
      <c r="D16" s="10">
        <v>1.4999999999999999E-2</v>
      </c>
      <c r="E16" s="11">
        <f t="shared" si="0"/>
        <v>0.86399999999999999</v>
      </c>
      <c r="F16" s="3">
        <v>30</v>
      </c>
      <c r="G16" s="3">
        <v>24</v>
      </c>
      <c r="H16" s="11">
        <f t="shared" si="1"/>
        <v>622.07999999999993</v>
      </c>
    </row>
    <row r="17" spans="1:8" x14ac:dyDescent="0.25">
      <c r="A17" s="5">
        <v>44311</v>
      </c>
      <c r="B17" s="3">
        <v>10</v>
      </c>
      <c r="C17" s="3">
        <v>24</v>
      </c>
      <c r="D17" s="10">
        <v>0.01</v>
      </c>
      <c r="E17" s="11">
        <f t="shared" si="0"/>
        <v>0.72000000000000008</v>
      </c>
      <c r="F17" s="3">
        <v>30</v>
      </c>
      <c r="G17" s="3">
        <v>24</v>
      </c>
      <c r="H17" s="11">
        <f t="shared" si="1"/>
        <v>518.40000000000009</v>
      </c>
    </row>
    <row r="18" spans="1:8" x14ac:dyDescent="0.25">
      <c r="A18" s="5">
        <v>44312</v>
      </c>
      <c r="B18" s="3">
        <v>11</v>
      </c>
      <c r="C18" s="3">
        <v>24</v>
      </c>
      <c r="D18" s="10">
        <v>5.0000000000000001E-3</v>
      </c>
      <c r="E18" s="11">
        <f t="shared" si="0"/>
        <v>0.39600000000000007</v>
      </c>
      <c r="F18" s="3">
        <v>30</v>
      </c>
      <c r="G18" s="3">
        <v>24</v>
      </c>
      <c r="H18" s="11">
        <f t="shared" si="1"/>
        <v>285.12000000000006</v>
      </c>
    </row>
  </sheetData>
  <sortState xmlns:xlrd2="http://schemas.microsoft.com/office/spreadsheetml/2017/richdata2" ref="A2:E18">
    <sortCondition ref="B2:B18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7D4B-EA0C-4045-A5B0-093F19D45329}">
  <dimension ref="A1:H18"/>
  <sheetViews>
    <sheetView showGridLines="0" zoomScale="115" zoomScaleNormal="115" workbookViewId="0">
      <selection activeCell="E2" sqref="E2"/>
    </sheetView>
  </sheetViews>
  <sheetFormatPr defaultRowHeight="15" x14ac:dyDescent="0.25"/>
  <cols>
    <col min="1" max="1" width="13" customWidth="1"/>
    <col min="2" max="2" width="12.85546875" style="4" bestFit="1" customWidth="1"/>
    <col min="3" max="3" width="12.85546875" style="4" customWidth="1"/>
    <col min="4" max="4" width="24.140625" style="7" bestFit="1" customWidth="1"/>
    <col min="5" max="5" width="19.42578125" style="9" bestFit="1" customWidth="1"/>
    <col min="6" max="7" width="12.85546875" style="4" customWidth="1"/>
    <col min="8" max="8" width="19.42578125" style="9" bestFit="1" customWidth="1"/>
  </cols>
  <sheetData>
    <row r="1" spans="1:8" x14ac:dyDescent="0.25">
      <c r="A1" s="1" t="s">
        <v>0</v>
      </c>
      <c r="B1" s="2" t="s">
        <v>1</v>
      </c>
      <c r="C1" s="2" t="s">
        <v>3</v>
      </c>
      <c r="D1" s="6" t="s">
        <v>4</v>
      </c>
      <c r="E1" s="8" t="s">
        <v>2</v>
      </c>
      <c r="F1" s="2" t="s">
        <v>5</v>
      </c>
      <c r="G1" s="2" t="s">
        <v>6</v>
      </c>
      <c r="H1" s="8" t="s">
        <v>7</v>
      </c>
    </row>
    <row r="2" spans="1:8" x14ac:dyDescent="0.25">
      <c r="A2" s="5">
        <v>44299</v>
      </c>
      <c r="B2" s="3">
        <v>-13</v>
      </c>
      <c r="C2" s="3">
        <v>24</v>
      </c>
      <c r="D2" s="10">
        <v>2.5000000000000001E-2</v>
      </c>
      <c r="E2" s="11">
        <f>ABS(B2/100*C2*D2*30)</f>
        <v>2.3400000000000003</v>
      </c>
      <c r="F2" s="3">
        <v>30</v>
      </c>
      <c r="G2" s="3">
        <v>24</v>
      </c>
      <c r="H2" s="11">
        <f>E2*F2*G2</f>
        <v>1684.8000000000002</v>
      </c>
    </row>
    <row r="3" spans="1:8" x14ac:dyDescent="0.25">
      <c r="A3" s="5">
        <v>44297</v>
      </c>
      <c r="B3" s="3">
        <v>-11</v>
      </c>
      <c r="C3" s="3">
        <v>24</v>
      </c>
      <c r="D3" s="10">
        <v>2.7E-2</v>
      </c>
      <c r="E3" s="11">
        <f t="shared" ref="E3:E18" si="0">ABS(B3/100*C3*D3*30)</f>
        <v>2.1383999999999999</v>
      </c>
      <c r="F3" s="3">
        <v>30</v>
      </c>
      <c r="G3" s="3">
        <v>24</v>
      </c>
      <c r="H3" s="11">
        <f t="shared" ref="H3:H18" si="1">E3*F3*G3</f>
        <v>1539.6480000000001</v>
      </c>
    </row>
    <row r="4" spans="1:8" x14ac:dyDescent="0.25">
      <c r="A4" s="5">
        <v>44296</v>
      </c>
      <c r="B4" s="3">
        <v>-10</v>
      </c>
      <c r="C4" s="3">
        <v>24</v>
      </c>
      <c r="D4" s="10">
        <v>2.9000000000000001E-2</v>
      </c>
      <c r="E4" s="11">
        <f t="shared" si="0"/>
        <v>2.0880000000000001</v>
      </c>
      <c r="F4" s="3">
        <v>30</v>
      </c>
      <c r="G4" s="3">
        <v>24</v>
      </c>
      <c r="H4" s="11">
        <f t="shared" si="1"/>
        <v>1503.3600000000001</v>
      </c>
    </row>
    <row r="5" spans="1:8" x14ac:dyDescent="0.25">
      <c r="A5" s="5">
        <v>44294</v>
      </c>
      <c r="B5" s="3">
        <v>-8</v>
      </c>
      <c r="C5" s="3">
        <v>24</v>
      </c>
      <c r="D5" s="10">
        <v>3.4000000000000002E-2</v>
      </c>
      <c r="E5" s="11">
        <f t="shared" si="0"/>
        <v>1.9584000000000001</v>
      </c>
      <c r="F5" s="3">
        <v>30</v>
      </c>
      <c r="G5" s="3">
        <v>24</v>
      </c>
      <c r="H5" s="11">
        <f t="shared" si="1"/>
        <v>1410.048</v>
      </c>
    </row>
    <row r="6" spans="1:8" x14ac:dyDescent="0.25">
      <c r="A6" s="5">
        <v>44293</v>
      </c>
      <c r="B6" s="3">
        <v>-7</v>
      </c>
      <c r="C6" s="3">
        <v>24</v>
      </c>
      <c r="D6" s="10">
        <v>3.7999999999999999E-2</v>
      </c>
      <c r="E6" s="11">
        <f t="shared" si="0"/>
        <v>1.9152000000000002</v>
      </c>
      <c r="F6" s="3">
        <v>30</v>
      </c>
      <c r="G6" s="3">
        <v>24</v>
      </c>
      <c r="H6" s="11">
        <f t="shared" si="1"/>
        <v>1378.9440000000002</v>
      </c>
    </row>
    <row r="7" spans="1:8" x14ac:dyDescent="0.25">
      <c r="A7" s="5">
        <v>44291</v>
      </c>
      <c r="B7" s="3">
        <v>-5</v>
      </c>
      <c r="C7" s="3">
        <v>24</v>
      </c>
      <c r="D7" s="10">
        <v>4.8000000000000001E-2</v>
      </c>
      <c r="E7" s="11">
        <f t="shared" si="0"/>
        <v>1.7280000000000004</v>
      </c>
      <c r="F7" s="3">
        <v>30</v>
      </c>
      <c r="G7" s="3">
        <v>24</v>
      </c>
      <c r="H7" s="11">
        <f t="shared" si="1"/>
        <v>1244.1600000000003</v>
      </c>
    </row>
    <row r="8" spans="1:8" x14ac:dyDescent="0.25">
      <c r="A8" s="5">
        <v>44290</v>
      </c>
      <c r="B8" s="3">
        <v>-4</v>
      </c>
      <c r="C8" s="3">
        <v>24</v>
      </c>
      <c r="D8" s="10">
        <v>5.5E-2</v>
      </c>
      <c r="E8" s="11">
        <f t="shared" si="0"/>
        <v>1.5840000000000001</v>
      </c>
      <c r="F8" s="3">
        <v>30</v>
      </c>
      <c r="G8" s="3">
        <v>24</v>
      </c>
      <c r="H8" s="11">
        <f t="shared" si="1"/>
        <v>1140.48</v>
      </c>
    </row>
    <row r="9" spans="1:8" x14ac:dyDescent="0.25">
      <c r="A9" s="5">
        <v>44288</v>
      </c>
      <c r="B9" s="3">
        <v>-2</v>
      </c>
      <c r="C9" s="3">
        <v>24</v>
      </c>
      <c r="D9" s="10">
        <v>0.105</v>
      </c>
      <c r="E9" s="11">
        <f t="shared" si="0"/>
        <v>1.5119999999999998</v>
      </c>
      <c r="F9" s="3">
        <v>30</v>
      </c>
      <c r="G9" s="3">
        <v>24</v>
      </c>
      <c r="H9" s="11">
        <f t="shared" si="1"/>
        <v>1088.6399999999999</v>
      </c>
    </row>
    <row r="10" spans="1:8" x14ac:dyDescent="0.25">
      <c r="A10" s="5">
        <v>44287</v>
      </c>
      <c r="B10" s="3">
        <v>-1</v>
      </c>
      <c r="C10" s="3">
        <v>24</v>
      </c>
      <c r="D10" s="10">
        <v>0.20499999999999999</v>
      </c>
      <c r="E10" s="11">
        <f t="shared" si="0"/>
        <v>1.4759999999999998</v>
      </c>
      <c r="F10" s="3">
        <v>30</v>
      </c>
      <c r="G10" s="3">
        <v>24</v>
      </c>
      <c r="H10" s="11">
        <f t="shared" si="1"/>
        <v>1062.7199999999998</v>
      </c>
    </row>
    <row r="11" spans="1:8" x14ac:dyDescent="0.25">
      <c r="A11" s="5">
        <v>44302</v>
      </c>
      <c r="B11" s="3">
        <v>1</v>
      </c>
      <c r="C11" s="3">
        <v>24</v>
      </c>
      <c r="D11" s="10">
        <v>0.19</v>
      </c>
      <c r="E11" s="11">
        <f t="shared" si="0"/>
        <v>1.3680000000000001</v>
      </c>
      <c r="F11" s="3">
        <v>30</v>
      </c>
      <c r="G11" s="3">
        <v>24</v>
      </c>
      <c r="H11" s="11">
        <f t="shared" si="1"/>
        <v>984.96000000000015</v>
      </c>
    </row>
    <row r="12" spans="1:8" x14ac:dyDescent="0.25">
      <c r="A12" s="5">
        <v>44303</v>
      </c>
      <c r="B12" s="3">
        <v>2</v>
      </c>
      <c r="C12" s="3">
        <v>24</v>
      </c>
      <c r="D12" s="10">
        <v>0.09</v>
      </c>
      <c r="E12" s="11">
        <f t="shared" si="0"/>
        <v>1.2959999999999998</v>
      </c>
      <c r="F12" s="3">
        <v>30</v>
      </c>
      <c r="G12" s="3">
        <v>24</v>
      </c>
      <c r="H12" s="11">
        <f t="shared" si="1"/>
        <v>933.11999999999989</v>
      </c>
    </row>
    <row r="13" spans="1:8" x14ac:dyDescent="0.25">
      <c r="A13" s="5">
        <v>44305</v>
      </c>
      <c r="B13" s="3">
        <v>4</v>
      </c>
      <c r="C13" s="3">
        <v>24</v>
      </c>
      <c r="D13" s="10">
        <v>0.04</v>
      </c>
      <c r="E13" s="11">
        <f t="shared" si="0"/>
        <v>1.1519999999999999</v>
      </c>
      <c r="F13" s="3">
        <v>30</v>
      </c>
      <c r="G13" s="3">
        <v>24</v>
      </c>
      <c r="H13" s="11">
        <f t="shared" si="1"/>
        <v>829.43999999999983</v>
      </c>
    </row>
    <row r="14" spans="1:8" x14ac:dyDescent="0.25">
      <c r="A14" s="5">
        <v>44306</v>
      </c>
      <c r="B14" s="3">
        <v>5</v>
      </c>
      <c r="C14" s="3">
        <v>24</v>
      </c>
      <c r="D14" s="10">
        <v>0.03</v>
      </c>
      <c r="E14" s="11">
        <f t="shared" si="0"/>
        <v>1.08</v>
      </c>
      <c r="F14" s="3">
        <v>30</v>
      </c>
      <c r="G14" s="3">
        <v>24</v>
      </c>
      <c r="H14" s="11">
        <f t="shared" si="1"/>
        <v>777.60000000000014</v>
      </c>
    </row>
    <row r="15" spans="1:8" x14ac:dyDescent="0.25">
      <c r="A15" s="5">
        <v>44308</v>
      </c>
      <c r="B15" s="3">
        <v>7</v>
      </c>
      <c r="C15" s="3">
        <v>24</v>
      </c>
      <c r="D15" s="10">
        <v>0.02</v>
      </c>
      <c r="E15" s="11">
        <f t="shared" si="0"/>
        <v>1.0080000000000002</v>
      </c>
      <c r="F15" s="3">
        <v>30</v>
      </c>
      <c r="G15" s="3">
        <v>24</v>
      </c>
      <c r="H15" s="11">
        <f t="shared" si="1"/>
        <v>725.7600000000001</v>
      </c>
    </row>
    <row r="16" spans="1:8" x14ac:dyDescent="0.25">
      <c r="A16" s="5">
        <v>44309</v>
      </c>
      <c r="B16" s="3">
        <v>8</v>
      </c>
      <c r="C16" s="3">
        <v>24</v>
      </c>
      <c r="D16" s="10">
        <v>1.4999999999999999E-2</v>
      </c>
      <c r="E16" s="11">
        <f t="shared" si="0"/>
        <v>0.86399999999999999</v>
      </c>
      <c r="F16" s="3">
        <v>30</v>
      </c>
      <c r="G16" s="3">
        <v>24</v>
      </c>
      <c r="H16" s="11">
        <f t="shared" si="1"/>
        <v>622.07999999999993</v>
      </c>
    </row>
    <row r="17" spans="1:8" x14ac:dyDescent="0.25">
      <c r="A17" s="5">
        <v>44311</v>
      </c>
      <c r="B17" s="3">
        <v>10</v>
      </c>
      <c r="C17" s="3">
        <v>24</v>
      </c>
      <c r="D17" s="10">
        <v>0.01</v>
      </c>
      <c r="E17" s="11">
        <f t="shared" si="0"/>
        <v>0.72000000000000008</v>
      </c>
      <c r="F17" s="3">
        <v>30</v>
      </c>
      <c r="G17" s="3">
        <v>24</v>
      </c>
      <c r="H17" s="11">
        <f t="shared" si="1"/>
        <v>518.40000000000009</v>
      </c>
    </row>
    <row r="18" spans="1:8" x14ac:dyDescent="0.25">
      <c r="A18" s="5">
        <v>44312</v>
      </c>
      <c r="B18" s="3">
        <v>11</v>
      </c>
      <c r="C18" s="3">
        <v>24</v>
      </c>
      <c r="D18" s="10">
        <v>5.0000000000000001E-3</v>
      </c>
      <c r="E18" s="11">
        <f t="shared" si="0"/>
        <v>0.39600000000000007</v>
      </c>
      <c r="F18" s="3">
        <v>30</v>
      </c>
      <c r="G18" s="3">
        <v>24</v>
      </c>
      <c r="H18" s="11">
        <f t="shared" si="1"/>
        <v>285.12000000000006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2021-04-10T09:09:33Z</dcterms:created>
  <dcterms:modified xsi:type="dcterms:W3CDTF">2021-04-10T15:18:22Z</dcterms:modified>
</cp:coreProperties>
</file>