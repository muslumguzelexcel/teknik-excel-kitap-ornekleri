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 Extra\Desktop\Kitap_Örnekleri\A1_Teknik_Excel\"/>
    </mc:Choice>
  </mc:AlternateContent>
  <xr:revisionPtr revIDLastSave="0" documentId="13_ncr:1_{997DFBD3-2D78-48FA-93BE-CFBED9632CA5}" xr6:coauthVersionLast="46" xr6:coauthVersionMax="46" xr10:uidLastSave="{00000000-0000-0000-0000-000000000000}"/>
  <bookViews>
    <workbookView xWindow="-120" yWindow="-120" windowWidth="24240" windowHeight="13140" xr2:uid="{0823B9ED-F9D9-4217-AF90-8A0522F9463D}"/>
  </bookViews>
  <sheets>
    <sheet name="Sayfa1" sheetId="1" r:id="rId1"/>
    <sheet name="Sayfa2" sheetId="2" r:id="rId2"/>
    <sheet name="Sayfa3" sheetId="3" r:id="rId3"/>
    <sheet name="Sayfa4" sheetId="5" r:id="rId4"/>
    <sheet name="Sayfa5" sheetId="4" r:id="rId5"/>
  </sheets>
  <definedNames>
    <definedName name="_xlnm._FilterDatabase" localSheetId="0" hidden="1">Sayfa1!$A$1:$G$35</definedName>
  </definedNames>
  <calcPr calcId="191029"/>
  <pivotCaches>
    <pivotCache cacheId="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" i="5" l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59" i="1"/>
  <c r="G29" i="1"/>
  <c r="G21" i="1"/>
  <c r="G42" i="1"/>
  <c r="G65" i="1"/>
  <c r="G33" i="1"/>
  <c r="G35" i="1"/>
  <c r="G69" i="1"/>
  <c r="G23" i="1"/>
  <c r="G57" i="1"/>
  <c r="G61" i="1"/>
  <c r="G63" i="1"/>
  <c r="G67" i="1"/>
  <c r="G55" i="1"/>
  <c r="G17" i="1"/>
  <c r="G27" i="1"/>
  <c r="G53" i="1"/>
  <c r="G45" i="1"/>
  <c r="G39" i="1"/>
  <c r="G19" i="1"/>
  <c r="G13" i="1"/>
  <c r="G51" i="1"/>
  <c r="G9" i="1"/>
  <c r="G43" i="1"/>
  <c r="G7" i="1"/>
  <c r="G11" i="1"/>
  <c r="G5" i="1"/>
  <c r="G47" i="1"/>
  <c r="G37" i="1"/>
  <c r="G3" i="1"/>
  <c r="G31" i="1"/>
  <c r="G25" i="1"/>
  <c r="G15" i="1"/>
  <c r="G49" i="1"/>
  <c r="G22" i="1"/>
  <c r="G56" i="1"/>
  <c r="G60" i="1"/>
  <c r="G41" i="1"/>
  <c r="G64" i="1"/>
  <c r="G32" i="1"/>
  <c r="G34" i="1"/>
  <c r="G68" i="1"/>
  <c r="G62" i="1"/>
  <c r="G28" i="1"/>
  <c r="G30" i="1"/>
  <c r="G66" i="1"/>
  <c r="G20" i="1"/>
  <c r="G54" i="1"/>
  <c r="G58" i="1"/>
  <c r="G16" i="1"/>
  <c r="G26" i="1"/>
  <c r="G52" i="1"/>
  <c r="G44" i="1"/>
  <c r="G38" i="1"/>
  <c r="G18" i="1"/>
  <c r="G12" i="1"/>
  <c r="G50" i="1"/>
  <c r="G8" i="1"/>
  <c r="G14" i="1"/>
  <c r="G24" i="1"/>
  <c r="G48" i="1"/>
  <c r="G2" i="1"/>
  <c r="G40" i="1"/>
  <c r="G36" i="1"/>
  <c r="G6" i="1"/>
  <c r="G10" i="1"/>
  <c r="G46" i="1"/>
  <c r="G4" i="1"/>
  <c r="M2" i="5"/>
</calcChain>
</file>

<file path=xl/sharedStrings.xml><?xml version="1.0" encoding="utf-8"?>
<sst xmlns="http://schemas.openxmlformats.org/spreadsheetml/2006/main" count="356" uniqueCount="32">
  <si>
    <t>Tarih</t>
  </si>
  <si>
    <t>Temsilci</t>
  </si>
  <si>
    <t>Şehir</t>
  </si>
  <si>
    <t>Ürünler</t>
  </si>
  <si>
    <t>Adet</t>
  </si>
  <si>
    <t>Fiyat</t>
  </si>
  <si>
    <t>Tutar</t>
  </si>
  <si>
    <t>Toplam Tutar</t>
  </si>
  <si>
    <t>Gamze ATAK</t>
  </si>
  <si>
    <t>Adana</t>
  </si>
  <si>
    <t>Takım Elbise</t>
  </si>
  <si>
    <t>Mustafa YILDIRIM</t>
  </si>
  <si>
    <t>Çocuk Giysisi</t>
  </si>
  <si>
    <t>Bluz</t>
  </si>
  <si>
    <t>Gömlek</t>
  </si>
  <si>
    <t>Hasan DAĞ</t>
  </si>
  <si>
    <t>Pantolon</t>
  </si>
  <si>
    <t>İstanbul</t>
  </si>
  <si>
    <t>Mersin</t>
  </si>
  <si>
    <t>Şanlıurfa</t>
  </si>
  <si>
    <t>Satır Etiketleri</t>
  </si>
  <si>
    <t>Genel Toplam</t>
  </si>
  <si>
    <t>Oca</t>
  </si>
  <si>
    <t>Mar</t>
  </si>
  <si>
    <t>Sütun Etiketleri</t>
  </si>
  <si>
    <t>Şub</t>
  </si>
  <si>
    <t>Ay</t>
  </si>
  <si>
    <t>Ocak</t>
  </si>
  <si>
    <t>Şubat</t>
  </si>
  <si>
    <t>Mart</t>
  </si>
  <si>
    <t>=ÖZETVERİAL("Tutar";$A$3;"Ürünler";L2;"Ay";KAÇINCI(L3;Sayfa4!E1:E3;0))</t>
  </si>
  <si>
    <t>Toplam Adet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</si>
</sst>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* #,##0.00\ &quot;TL&quot;_-;\-* #,##0.00\ &quot;TL&quot;_-;_-* &quot;-&quot;??\ &quot;TL&quot;_-;_-@_-"/>
    <numFmt numFmtId="164" formatCode="_-* #,##0\ &quot;TL&quot;_-;\-* #,##0\ &quot;TL&quot;_-;_-* &quot;-&quot;??\ &quot;TL&quot;_-;_-@_-"/>
    <numFmt numFmtId="165" formatCode="_-* #,##0.00\ _₺_-;\-* #,##0.00\ _₺_-;_-* &quot;-&quot;??\ _₺_-;_-@_-"/>
    <numFmt numFmtId="166" formatCode="_-* #,##0\ _₺_-;\-* #,##0\ _₺_-;_-* &quot;-&quot;??\ _₺_-;_-@_-"/>
    <numFmt numFmtId="167" formatCode="_-* #,##0\ _T_L_-;\-* #,##0\ _T_L_-;_-* &quot;-&quot;??\ _T_L_-;_-@_-"/>
  </numFmts>
  <fonts count="9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2"/>
      <color theme="0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sz val="8"/>
      <name val="Calibri"/>
      <family val="2"/>
      <charset val="162"/>
      <scheme val="minor"/>
    </font>
    <font>
      <sz val="16"/>
      <color theme="1"/>
      <name val="Franklin Gothic Heavy"/>
      <family val="2"/>
      <charset val="162"/>
    </font>
    <font>
      <b/>
      <sz val="12"/>
      <color theme="1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164" fontId="3" fillId="2" borderId="1" xfId="2" applyNumberFormat="1" applyFont="1" applyFill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167" fontId="0" fillId="0" borderId="1" xfId="0" applyNumberFormat="1" applyBorder="1" applyAlignment="1">
      <alignment horizontal="left"/>
    </xf>
    <xf numFmtId="164" fontId="0" fillId="0" borderId="1" xfId="2" applyNumberFormat="1" applyFont="1" applyFill="1" applyBorder="1"/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quotePrefix="1"/>
    <xf numFmtId="165" fontId="0" fillId="0" borderId="0" xfId="1" quotePrefix="1" applyFont="1"/>
    <xf numFmtId="165" fontId="0" fillId="0" borderId="0" xfId="1" applyFont="1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2" applyNumberFormat="1" applyFont="1"/>
    <xf numFmtId="0" fontId="0" fillId="0" borderId="0" xfId="0" pivotButton="1"/>
    <xf numFmtId="3" fontId="0" fillId="0" borderId="0" xfId="0" applyNumberFormat="1"/>
    <xf numFmtId="3" fontId="0" fillId="3" borderId="0" xfId="0" applyNumberFormat="1" applyFill="1"/>
    <xf numFmtId="0" fontId="0" fillId="0" borderId="1" xfId="0" applyFill="1" applyBorder="1"/>
    <xf numFmtId="0" fontId="0" fillId="0" borderId="2" xfId="0" applyFill="1" applyBorder="1"/>
    <xf numFmtId="0" fontId="2" fillId="4" borderId="3" xfId="0" applyFont="1" applyFill="1" applyBorder="1"/>
    <xf numFmtId="0" fontId="2" fillId="4" borderId="4" xfId="0" applyFont="1" applyFill="1" applyBorder="1"/>
    <xf numFmtId="0" fontId="2" fillId="4" borderId="5" xfId="0" applyFont="1" applyFill="1" applyBorder="1"/>
    <xf numFmtId="0" fontId="2" fillId="4" borderId="2" xfId="0" applyFont="1" applyFill="1" applyBorder="1"/>
    <xf numFmtId="0" fontId="2" fillId="4" borderId="1" xfId="0" applyFont="1" applyFill="1" applyBorder="1"/>
    <xf numFmtId="166" fontId="6" fillId="0" borderId="2" xfId="1" applyNumberFormat="1" applyFont="1" applyBorder="1" applyAlignment="1">
      <alignment horizontal="center" vertical="center"/>
    </xf>
    <xf numFmtId="166" fontId="6" fillId="0" borderId="1" xfId="1" applyNumberFormat="1" applyFont="1" applyBorder="1" applyAlignment="1">
      <alignment horizontal="center" vertical="center"/>
    </xf>
    <xf numFmtId="0" fontId="0" fillId="0" borderId="0" xfId="0" applyNumberFormat="1"/>
    <xf numFmtId="0" fontId="0" fillId="3" borderId="0" xfId="0" applyNumberFormat="1" applyFill="1"/>
    <xf numFmtId="3" fontId="0" fillId="0" borderId="0" xfId="0" applyNumberFormat="1" applyFill="1"/>
    <xf numFmtId="0" fontId="0" fillId="0" borderId="0" xfId="0" applyNumberFormat="1" applyFill="1"/>
    <xf numFmtId="0" fontId="0" fillId="0" borderId="0" xfId="0" applyAlignment="1">
      <alignment horizontal="left" indent="1"/>
    </xf>
    <xf numFmtId="0" fontId="0" fillId="0" borderId="1" xfId="0" applyBorder="1"/>
    <xf numFmtId="0" fontId="8" fillId="4" borderId="5" xfId="0" applyFont="1" applyFill="1" applyBorder="1" applyAlignment="1">
      <alignment horizontal="center"/>
    </xf>
    <xf numFmtId="0" fontId="7" fillId="4" borderId="3" xfId="0" applyFont="1" applyFill="1" applyBorder="1"/>
  </cellXfs>
  <cellStyles count="3">
    <cellStyle name="Normal" xfId="0" builtinId="0"/>
    <cellStyle name="ParaBirimi" xfId="2" builtinId="4"/>
    <cellStyle name="Virgül" xfId="1" builtinId="3"/>
  </cellStyles>
  <dxfs count="24">
    <dxf>
      <numFmt numFmtId="3" formatCode="#,##0"/>
    </dxf>
    <dxf>
      <fill>
        <patternFill patternType="solid">
          <fgColor indexed="64"/>
          <bgColor theme="0" tint="-0.14999847407452621"/>
        </patternFill>
      </fill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solid">
          <fgColor indexed="64"/>
          <bgColor theme="0" tint="-0.14999847407452621"/>
        </patternFill>
      </fill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solid">
          <fgColor indexed="64"/>
          <bgColor theme="0" tint="-0.14999847407452621"/>
        </patternFill>
      </fill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solid">
          <fgColor indexed="64"/>
          <bgColor theme="0" tint="-0.14999847407452621"/>
        </patternFill>
      </fill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solid">
          <fgColor indexed="64"/>
          <bgColor theme="0" tint="-0.14999847407452621"/>
        </patternFill>
      </fill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solid">
          <fgColor indexed="64"/>
          <bgColor theme="0" tint="-0.1499984740745262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fgColor indexed="64"/>
          <bgColor theme="0" tint="-0.14999847407452621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fill>
        <patternFill patternType="solid">
          <fgColor indexed="64"/>
          <bgColor theme="0" tint="-0.14999847407452621"/>
        </patternFill>
      </fill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r Extra" refreshedDate="44300.739287962962" createdVersion="7" refreshedVersion="7" minRefreshableVersion="3" recordCount="88" xr:uid="{1C6A1283-6DB2-4194-9656-86793F3BE057}">
  <cacheSource type="worksheet">
    <worksheetSource ref="A1:G89" sheet="Sayfa1"/>
  </cacheSource>
  <cacheFields count="8">
    <cacheField name="Tarih" numFmtId="14">
      <sharedItems containsSemiMixedTypes="0" containsNonDate="0" containsDate="1" containsString="0" minDate="2022-01-01T00:00:00" maxDate="2022-03-31T00:00:00" count="28">
        <d v="2022-01-01T00:00:00"/>
        <d v="2022-01-10T00:00:00"/>
        <d v="2022-01-11T00:00:00"/>
        <d v="2022-01-16T00:00:00"/>
        <d v="2022-01-17T00:00:00"/>
        <d v="2022-01-18T00:00:00"/>
        <d v="2022-01-19T00:00:00"/>
        <d v="2022-01-21T00:00:00"/>
        <d v="2022-01-22T00:00:00"/>
        <d v="2022-02-01T00:00:00"/>
        <d v="2022-02-02T00:00:00"/>
        <d v="2022-02-03T00:00:00"/>
        <d v="2022-02-04T00:00:00"/>
        <d v="2022-02-05T00:00:00"/>
        <d v="2022-02-06T00:00:00"/>
        <d v="2022-02-15T00:00:00"/>
        <d v="2022-02-16T00:00:00"/>
        <d v="2022-02-17T00:00:00"/>
        <d v="2022-03-03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21T00:00:00"/>
        <d v="2022-03-30T00:00:00"/>
      </sharedItems>
      <fieldGroup par="7" base="0">
        <rangePr groupBy="days" startDate="2022-01-01T00:00:00" endDate="2022-03-31T00:00:00"/>
        <groupItems count="368">
          <s v="&lt;01.01.2022"/>
          <s v="01.Oca"/>
          <s v="02.Oca"/>
          <s v="03.Oca"/>
          <s v="04.Oca"/>
          <s v="05.Oca"/>
          <s v="06.Oca"/>
          <s v="07.Oca"/>
          <s v="08.Oca"/>
          <s v="09.Oca"/>
          <s v="10.Oca"/>
          <s v="11.Oca"/>
          <s v="12.Oca"/>
          <s v="13.Oca"/>
          <s v="14.Oca"/>
          <s v="15.Oca"/>
          <s v="16.Oca"/>
          <s v="17.Oca"/>
          <s v="18.Oca"/>
          <s v="19.Oca"/>
          <s v="20.Oca"/>
          <s v="21.Oca"/>
          <s v="22.Oca"/>
          <s v="23.Oca"/>
          <s v="24.Oca"/>
          <s v="25.Oca"/>
          <s v="26.Oca"/>
          <s v="27.Oca"/>
          <s v="28.Oca"/>
          <s v="29.Oca"/>
          <s v="30.Oca"/>
          <s v="31.Oca"/>
          <s v="01.Şub"/>
          <s v="02.Şub"/>
          <s v="03.Şub"/>
          <s v="04.Şub"/>
          <s v="05.Şub"/>
          <s v="06.Şub"/>
          <s v="07.Şub"/>
          <s v="08.Şub"/>
          <s v="09.Şub"/>
          <s v="10.Şub"/>
          <s v="11.Şub"/>
          <s v="12.Şub"/>
          <s v="13.Şub"/>
          <s v="14.Şub"/>
          <s v="15.Şub"/>
          <s v="16.Şub"/>
          <s v="17.Şub"/>
          <s v="18.Şub"/>
          <s v="19.Şub"/>
          <s v="20.Şub"/>
          <s v="21.Şub"/>
          <s v="22.Şub"/>
          <s v="23.Şub"/>
          <s v="24.Şub"/>
          <s v="25.Şub"/>
          <s v="26.Şub"/>
          <s v="27.Şub"/>
          <s v="28.Şub"/>
          <s v="29.Şub"/>
          <s v="01.Mar"/>
          <s v="02.Mar"/>
          <s v="03.Mar"/>
          <s v="04.Mar"/>
          <s v="05.Mar"/>
          <s v="06.Mar"/>
          <s v="07.Mar"/>
          <s v="08.Mar"/>
          <s v="09.Mar"/>
          <s v="10.Mar"/>
          <s v="11.Mar"/>
          <s v="12.Mar"/>
          <s v="13.Mar"/>
          <s v="14.Mar"/>
          <s v="15.Mar"/>
          <s v="16.Mar"/>
          <s v="17.Mar"/>
          <s v="18.Mar"/>
          <s v="19.Mar"/>
          <s v="20.Mar"/>
          <s v="21.Mar"/>
          <s v="22.Mar"/>
          <s v="23.Mar"/>
          <s v="24.Mar"/>
          <s v="25.Mar"/>
          <s v="26.Mar"/>
          <s v="27.Mar"/>
          <s v="28.Mar"/>
          <s v="29.Mar"/>
          <s v="30.Mar"/>
          <s v="31.Mar"/>
          <s v="01.Nis"/>
          <s v="02.Nis"/>
          <s v="03.Nis"/>
          <s v="04.Nis"/>
          <s v="05.Nis"/>
          <s v="06.Nis"/>
          <s v="07.Nis"/>
          <s v="08.Nis"/>
          <s v="09.Nis"/>
          <s v="10.Nis"/>
          <s v="11.Nis"/>
          <s v="12.Nis"/>
          <s v="13.Nis"/>
          <s v="14.Nis"/>
          <s v="15.Nis"/>
          <s v="16.Nis"/>
          <s v="17.Nis"/>
          <s v="18.Nis"/>
          <s v="19.Nis"/>
          <s v="20.Nis"/>
          <s v="21.Nis"/>
          <s v="22.Nis"/>
          <s v="23.Nis"/>
          <s v="24.Nis"/>
          <s v="25.Nis"/>
          <s v="26.Nis"/>
          <s v="27.Nis"/>
          <s v="28.Nis"/>
          <s v="29.Nis"/>
          <s v="30.Nis"/>
          <s v="01.May"/>
          <s v="02.May"/>
          <s v="03.May"/>
          <s v="04.May"/>
          <s v="05.May"/>
          <s v="06.May"/>
          <s v="07.May"/>
          <s v="08.May"/>
          <s v="09.May"/>
          <s v="10.May"/>
          <s v="11.May"/>
          <s v="12.May"/>
          <s v="13.May"/>
          <s v="14.May"/>
          <s v="15.May"/>
          <s v="16.May"/>
          <s v="17.May"/>
          <s v="18.May"/>
          <s v="19.May"/>
          <s v="20.May"/>
          <s v="21.May"/>
          <s v="22.May"/>
          <s v="23.May"/>
          <s v="24.May"/>
          <s v="25.May"/>
          <s v="26.May"/>
          <s v="27.May"/>
          <s v="28.May"/>
          <s v="29.May"/>
          <s v="30.May"/>
          <s v="31.May"/>
          <s v="01.Haz"/>
          <s v="02.Haz"/>
          <s v="03.Haz"/>
          <s v="04.Haz"/>
          <s v="05.Haz"/>
          <s v="06.Haz"/>
          <s v="07.Haz"/>
          <s v="08.Haz"/>
          <s v="09.Haz"/>
          <s v="10.Haz"/>
          <s v="11.Haz"/>
          <s v="12.Haz"/>
          <s v="13.Haz"/>
          <s v="14.Haz"/>
          <s v="15.Haz"/>
          <s v="16.Haz"/>
          <s v="17.Haz"/>
          <s v="18.Haz"/>
          <s v="19.Haz"/>
          <s v="20.Haz"/>
          <s v="21.Haz"/>
          <s v="22.Haz"/>
          <s v="23.Haz"/>
          <s v="24.Haz"/>
          <s v="25.Haz"/>
          <s v="26.Haz"/>
          <s v="27.Haz"/>
          <s v="28.Haz"/>
          <s v="29.Haz"/>
          <s v="30.Haz"/>
          <s v="01.Tem"/>
          <s v="02.Tem"/>
          <s v="03.Tem"/>
          <s v="04.Tem"/>
          <s v="05.Tem"/>
          <s v="06.Tem"/>
          <s v="07.Tem"/>
          <s v="08.Tem"/>
          <s v="09.Tem"/>
          <s v="10.Tem"/>
          <s v="11.Tem"/>
          <s v="12.Tem"/>
          <s v="13.Tem"/>
          <s v="14.Tem"/>
          <s v="15.Tem"/>
          <s v="16.Tem"/>
          <s v="17.Tem"/>
          <s v="18.Tem"/>
          <s v="19.Tem"/>
          <s v="20.Tem"/>
          <s v="21.Tem"/>
          <s v="22.Tem"/>
          <s v="23.Tem"/>
          <s v="24.Tem"/>
          <s v="25.Tem"/>
          <s v="26.Tem"/>
          <s v="27.Tem"/>
          <s v="28.Tem"/>
          <s v="29.Tem"/>
          <s v="30.Tem"/>
          <s v="31.Tem"/>
          <s v="01.Ağu"/>
          <s v="02.Ağu"/>
          <s v="03.Ağu"/>
          <s v="04.Ağu"/>
          <s v="05.Ağu"/>
          <s v="06.Ağu"/>
          <s v="07.Ağu"/>
          <s v="08.Ağu"/>
          <s v="09.Ağu"/>
          <s v="10.Ağu"/>
          <s v="11.Ağu"/>
          <s v="12.Ağu"/>
          <s v="13.Ağu"/>
          <s v="14.Ağu"/>
          <s v="15.Ağu"/>
          <s v="16.Ağu"/>
          <s v="17.Ağu"/>
          <s v="18.Ağu"/>
          <s v="19.Ağu"/>
          <s v="20.Ağu"/>
          <s v="21.Ağu"/>
          <s v="22.Ağu"/>
          <s v="23.Ağu"/>
          <s v="24.Ağu"/>
          <s v="25.Ağu"/>
          <s v="26.Ağu"/>
          <s v="27.Ağu"/>
          <s v="28.Ağu"/>
          <s v="29.Ağu"/>
          <s v="30.Ağu"/>
          <s v="31.Ağu"/>
          <s v="01.Eyl"/>
          <s v="02.Eyl"/>
          <s v="03.Eyl"/>
          <s v="04.Eyl"/>
          <s v="05.Eyl"/>
          <s v="06.Eyl"/>
          <s v="07.Eyl"/>
          <s v="08.Eyl"/>
          <s v="09.Eyl"/>
          <s v="10.Eyl"/>
          <s v="11.Eyl"/>
          <s v="12.Eyl"/>
          <s v="13.Eyl"/>
          <s v="14.Eyl"/>
          <s v="15.Eyl"/>
          <s v="16.Eyl"/>
          <s v="17.Eyl"/>
          <s v="18.Eyl"/>
          <s v="19.Eyl"/>
          <s v="20.Eyl"/>
          <s v="21.Eyl"/>
          <s v="22.Eyl"/>
          <s v="23.Eyl"/>
          <s v="24.Eyl"/>
          <s v="25.Eyl"/>
          <s v="26.Eyl"/>
          <s v="27.Eyl"/>
          <s v="28.Eyl"/>
          <s v="29.Eyl"/>
          <s v="30.Eyl"/>
          <s v="01.Eki"/>
          <s v="02.Eki"/>
          <s v="03.Eki"/>
          <s v="04.Eki"/>
          <s v="05.Eki"/>
          <s v="06.Eki"/>
          <s v="07.Eki"/>
          <s v="08.Eki"/>
          <s v="09.Eki"/>
          <s v="10.Eki"/>
          <s v="11.Eki"/>
          <s v="12.Eki"/>
          <s v="13.Eki"/>
          <s v="14.Eki"/>
          <s v="15.Eki"/>
          <s v="16.Eki"/>
          <s v="17.Eki"/>
          <s v="18.Eki"/>
          <s v="19.Eki"/>
          <s v="20.Eki"/>
          <s v="21.Eki"/>
          <s v="22.Eki"/>
          <s v="23.Eki"/>
          <s v="24.Eki"/>
          <s v="25.Eki"/>
          <s v="26.Eki"/>
          <s v="27.Eki"/>
          <s v="28.Eki"/>
          <s v="29.Eki"/>
          <s v="30.Eki"/>
          <s v="31.Eki"/>
          <s v="01.Kas"/>
          <s v="02.Kas"/>
          <s v="03.Kas"/>
          <s v="04.Kas"/>
          <s v="05.Kas"/>
          <s v="06.Kas"/>
          <s v="07.Kas"/>
          <s v="08.Kas"/>
          <s v="09.Kas"/>
          <s v="10.Kas"/>
          <s v="11.Kas"/>
          <s v="12.Kas"/>
          <s v="13.Kas"/>
          <s v="14.Kas"/>
          <s v="15.Kas"/>
          <s v="16.Kas"/>
          <s v="17.Kas"/>
          <s v="18.Kas"/>
          <s v="19.Kas"/>
          <s v="20.Kas"/>
          <s v="21.Kas"/>
          <s v="22.Kas"/>
          <s v="23.Kas"/>
          <s v="24.Kas"/>
          <s v="25.Kas"/>
          <s v="26.Kas"/>
          <s v="27.Kas"/>
          <s v="28.Kas"/>
          <s v="29.Kas"/>
          <s v="30.Kas"/>
          <s v="01.Ara"/>
          <s v="02.Ara"/>
          <s v="03.Ara"/>
          <s v="04.Ara"/>
          <s v="05.Ara"/>
          <s v="06.Ara"/>
          <s v="07.Ara"/>
          <s v="08.Ara"/>
          <s v="09.Ara"/>
          <s v="10.Ara"/>
          <s v="11.Ara"/>
          <s v="12.Ara"/>
          <s v="13.Ara"/>
          <s v="14.Ara"/>
          <s v="15.Ara"/>
          <s v="16.Ara"/>
          <s v="17.Ara"/>
          <s v="18.Ara"/>
          <s v="19.Ara"/>
          <s v="20.Ara"/>
          <s v="21.Ara"/>
          <s v="22.Ara"/>
          <s v="23.Ara"/>
          <s v="24.Ara"/>
          <s v="25.Ara"/>
          <s v="26.Ara"/>
          <s v="27.Ara"/>
          <s v="28.Ara"/>
          <s v="29.Ara"/>
          <s v="30.Ara"/>
          <s v="31.Ara"/>
          <s v="&gt;31.03.2022"/>
        </groupItems>
      </fieldGroup>
    </cacheField>
    <cacheField name="Temsilci" numFmtId="0">
      <sharedItems/>
    </cacheField>
    <cacheField name="Şehir" numFmtId="0">
      <sharedItems count="4">
        <s v="Adana"/>
        <s v="İstanbul"/>
        <s v="Mersin"/>
        <s v="Şanlıurfa"/>
      </sharedItems>
    </cacheField>
    <cacheField name="Ürünler" numFmtId="0">
      <sharedItems count="5">
        <s v="Pantolon"/>
        <s v="Takım Elbise"/>
        <s v="Çocuk Giysisi"/>
        <s v="Bluz"/>
        <s v="Gömlek"/>
      </sharedItems>
    </cacheField>
    <cacheField name="Adet" numFmtId="167">
      <sharedItems containsSemiMixedTypes="0" containsString="0" containsNumber="1" containsInteger="1" minValue="6" maxValue="266"/>
    </cacheField>
    <cacheField name="Fiyat" numFmtId="167">
      <sharedItems containsSemiMixedTypes="0" containsString="0" containsNumber="1" containsInteger="1" minValue="25" maxValue="450"/>
    </cacheField>
    <cacheField name="Tutar" numFmtId="164">
      <sharedItems containsSemiMixedTypes="0" containsString="0" containsNumber="1" containsInteger="1" minValue="450" maxValue="16750"/>
    </cacheField>
    <cacheField name="Ay" numFmtId="0" databaseField="0">
      <fieldGroup base="0">
        <rangePr groupBy="months" startDate="2022-01-01T00:00:00" endDate="2022-03-31T00:00:00"/>
        <groupItems count="14">
          <s v="&lt;01.01.2022"/>
          <s v="Oca"/>
          <s v="Şub"/>
          <s v="Mar"/>
          <s v="Nis"/>
          <s v="May"/>
          <s v="Haz"/>
          <s v="Tem"/>
          <s v="Ağu"/>
          <s v="Eyl"/>
          <s v="Eki"/>
          <s v="Kas"/>
          <s v="Ara"/>
          <s v="&gt;31.03.202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">
  <r>
    <x v="0"/>
    <s v="Gamze ATAK"/>
    <x v="0"/>
    <x v="0"/>
    <n v="6"/>
    <n v="75"/>
    <n v="450"/>
  </r>
  <r>
    <x v="1"/>
    <s v="Gamze ATAK"/>
    <x v="1"/>
    <x v="0"/>
    <n v="6"/>
    <n v="75"/>
    <n v="450"/>
  </r>
  <r>
    <x v="2"/>
    <s v="Gamze ATAK"/>
    <x v="0"/>
    <x v="1"/>
    <n v="7"/>
    <n v="450"/>
    <n v="3150"/>
  </r>
  <r>
    <x v="3"/>
    <s v="Gamze ATAK"/>
    <x v="1"/>
    <x v="1"/>
    <n v="7"/>
    <n v="450"/>
    <n v="3150"/>
  </r>
  <r>
    <x v="4"/>
    <s v="Hasan DAĞ"/>
    <x v="0"/>
    <x v="2"/>
    <n v="10"/>
    <n v="250"/>
    <n v="2500"/>
  </r>
  <r>
    <x v="5"/>
    <s v="Gamze ATAK"/>
    <x v="2"/>
    <x v="2"/>
    <n v="10"/>
    <n v="250"/>
    <n v="2500"/>
  </r>
  <r>
    <x v="6"/>
    <s v="Mustafa YILDIRIM"/>
    <x v="1"/>
    <x v="1"/>
    <n v="12"/>
    <n v="450"/>
    <n v="5400"/>
  </r>
  <r>
    <x v="7"/>
    <s v="Gamze ATAK"/>
    <x v="2"/>
    <x v="1"/>
    <n v="12"/>
    <n v="450"/>
    <n v="5400"/>
  </r>
  <r>
    <x v="7"/>
    <s v="Gamze ATAK"/>
    <x v="0"/>
    <x v="2"/>
    <n v="23"/>
    <n v="450"/>
    <n v="10350"/>
  </r>
  <r>
    <x v="8"/>
    <s v="Gamze ATAK"/>
    <x v="1"/>
    <x v="2"/>
    <n v="23"/>
    <n v="450"/>
    <n v="10350"/>
  </r>
  <r>
    <x v="8"/>
    <s v="Mustafa YILDIRIM"/>
    <x v="1"/>
    <x v="2"/>
    <n v="28"/>
    <n v="450"/>
    <n v="12600"/>
  </r>
  <r>
    <x v="9"/>
    <s v="Gamze ATAK"/>
    <x v="3"/>
    <x v="2"/>
    <n v="28"/>
    <n v="450"/>
    <n v="12600"/>
  </r>
  <r>
    <x v="10"/>
    <s v="Mustafa YILDIRIM"/>
    <x v="1"/>
    <x v="3"/>
    <n v="33"/>
    <n v="250"/>
    <n v="8250"/>
  </r>
  <r>
    <x v="11"/>
    <s v="Gamze ATAK"/>
    <x v="1"/>
    <x v="3"/>
    <n v="33"/>
    <n v="250"/>
    <n v="8250"/>
  </r>
  <r>
    <x v="12"/>
    <s v="Gamze ATAK"/>
    <x v="1"/>
    <x v="3"/>
    <n v="38"/>
    <n v="250"/>
    <n v="9500"/>
  </r>
  <r>
    <x v="13"/>
    <s v="Gamze ATAK"/>
    <x v="2"/>
    <x v="3"/>
    <n v="38"/>
    <n v="250"/>
    <n v="9500"/>
  </r>
  <r>
    <x v="14"/>
    <s v="Mustafa YILDIRIM"/>
    <x v="1"/>
    <x v="2"/>
    <n v="67"/>
    <n v="250"/>
    <n v="16750"/>
  </r>
  <r>
    <x v="15"/>
    <s v="Gamze ATAK"/>
    <x v="3"/>
    <x v="2"/>
    <n v="67"/>
    <n v="250"/>
    <n v="16750"/>
  </r>
  <r>
    <x v="16"/>
    <s v="Gamze ATAK"/>
    <x v="2"/>
    <x v="0"/>
    <n v="70"/>
    <n v="75"/>
    <n v="5250"/>
  </r>
  <r>
    <x v="17"/>
    <s v="Gamze ATAK"/>
    <x v="0"/>
    <x v="0"/>
    <n v="70"/>
    <n v="75"/>
    <n v="5250"/>
  </r>
  <r>
    <x v="18"/>
    <s v="Gamze ATAK"/>
    <x v="3"/>
    <x v="0"/>
    <n v="75"/>
    <n v="75"/>
    <n v="5625"/>
  </r>
  <r>
    <x v="18"/>
    <s v="Gamze ATAK"/>
    <x v="1"/>
    <x v="0"/>
    <n v="75"/>
    <n v="75"/>
    <n v="5625"/>
  </r>
  <r>
    <x v="18"/>
    <s v="Mustafa YILDIRIM"/>
    <x v="1"/>
    <x v="3"/>
    <n v="87"/>
    <n v="75"/>
    <n v="6525"/>
  </r>
  <r>
    <x v="18"/>
    <s v="Mustafa YILDIRIM"/>
    <x v="1"/>
    <x v="3"/>
    <n v="87"/>
    <n v="75"/>
    <n v="6525"/>
  </r>
  <r>
    <x v="19"/>
    <s v="Gamze ATAK"/>
    <x v="1"/>
    <x v="3"/>
    <n v="92"/>
    <n v="75"/>
    <n v="6900"/>
  </r>
  <r>
    <x v="20"/>
    <s v="Mustafa YILDIRIM"/>
    <x v="2"/>
    <x v="3"/>
    <n v="92"/>
    <n v="75"/>
    <n v="6900"/>
  </r>
  <r>
    <x v="21"/>
    <s v="Gamze ATAK"/>
    <x v="2"/>
    <x v="0"/>
    <n v="95"/>
    <n v="75"/>
    <n v="7125"/>
  </r>
  <r>
    <x v="22"/>
    <s v="Gamze ATAK"/>
    <x v="0"/>
    <x v="0"/>
    <n v="95"/>
    <n v="75"/>
    <n v="7125"/>
  </r>
  <r>
    <x v="23"/>
    <s v="Mustafa YILDIRIM"/>
    <x v="2"/>
    <x v="0"/>
    <n v="99"/>
    <n v="50"/>
    <n v="4950"/>
  </r>
  <r>
    <x v="24"/>
    <s v="Mustafa YILDIRIM"/>
    <x v="1"/>
    <x v="0"/>
    <n v="99"/>
    <n v="50"/>
    <n v="4950"/>
  </r>
  <r>
    <x v="25"/>
    <s v="Hasan DAĞ"/>
    <x v="2"/>
    <x v="0"/>
    <n v="100"/>
    <n v="75"/>
    <n v="7500"/>
  </r>
  <r>
    <x v="26"/>
    <s v="Mustafa YILDIRIM"/>
    <x v="0"/>
    <x v="0"/>
    <n v="100"/>
    <n v="75"/>
    <n v="7500"/>
  </r>
  <r>
    <x v="26"/>
    <s v="Mustafa YILDIRIM"/>
    <x v="2"/>
    <x v="0"/>
    <n v="104"/>
    <n v="50"/>
    <n v="5200"/>
  </r>
  <r>
    <x v="27"/>
    <s v="Mustafa YILDIRIM"/>
    <x v="0"/>
    <x v="0"/>
    <n v="104"/>
    <n v="50"/>
    <n v="5200"/>
  </r>
  <r>
    <x v="0"/>
    <s v="Gamze ATAK"/>
    <x v="0"/>
    <x v="3"/>
    <n v="114"/>
    <n v="50"/>
    <n v="5700"/>
  </r>
  <r>
    <x v="1"/>
    <s v="Gamze ATAK"/>
    <x v="1"/>
    <x v="3"/>
    <n v="114"/>
    <n v="50"/>
    <n v="5700"/>
  </r>
  <r>
    <x v="2"/>
    <s v="Gamze ATAK"/>
    <x v="1"/>
    <x v="3"/>
    <n v="119"/>
    <n v="50"/>
    <n v="5950"/>
  </r>
  <r>
    <x v="3"/>
    <s v="Gamze ATAK"/>
    <x v="2"/>
    <x v="3"/>
    <n v="119"/>
    <n v="50"/>
    <n v="5950"/>
  </r>
  <r>
    <x v="4"/>
    <s v="Hasan DAĞ"/>
    <x v="0"/>
    <x v="4"/>
    <n v="126"/>
    <n v="75"/>
    <n v="9450"/>
  </r>
  <r>
    <x v="5"/>
    <s v="Gamze ATAK"/>
    <x v="2"/>
    <x v="0"/>
    <n v="126"/>
    <n v="75"/>
    <n v="9450"/>
  </r>
  <r>
    <x v="6"/>
    <s v="Mustafa YILDIRIM"/>
    <x v="0"/>
    <x v="0"/>
    <n v="126"/>
    <n v="75"/>
    <n v="9450"/>
  </r>
  <r>
    <x v="7"/>
    <s v="Gamze ATAK"/>
    <x v="2"/>
    <x v="4"/>
    <n v="126"/>
    <n v="75"/>
    <n v="9450"/>
  </r>
  <r>
    <x v="7"/>
    <s v="Gamze ATAK"/>
    <x v="1"/>
    <x v="4"/>
    <n v="131"/>
    <n v="75"/>
    <n v="9825"/>
  </r>
  <r>
    <x v="8"/>
    <s v="Gamze ATAK"/>
    <x v="2"/>
    <x v="4"/>
    <n v="131"/>
    <n v="75"/>
    <n v="9825"/>
  </r>
  <r>
    <x v="8"/>
    <s v="Mustafa YILDIRIM"/>
    <x v="0"/>
    <x v="2"/>
    <n v="135"/>
    <n v="30"/>
    <n v="4050"/>
  </r>
  <r>
    <x v="9"/>
    <s v="Gamze ATAK"/>
    <x v="1"/>
    <x v="2"/>
    <n v="135"/>
    <n v="30"/>
    <n v="4050"/>
  </r>
  <r>
    <x v="10"/>
    <s v="Mustafa YILDIRIM"/>
    <x v="1"/>
    <x v="3"/>
    <n v="139"/>
    <n v="50"/>
    <n v="6950"/>
  </r>
  <r>
    <x v="11"/>
    <s v="Gamze ATAK"/>
    <x v="1"/>
    <x v="3"/>
    <n v="139"/>
    <n v="50"/>
    <n v="6950"/>
  </r>
  <r>
    <x v="12"/>
    <s v="Gamze ATAK"/>
    <x v="1"/>
    <x v="2"/>
    <n v="140"/>
    <n v="30"/>
    <n v="4200"/>
  </r>
  <r>
    <x v="13"/>
    <s v="Gamze ATAK"/>
    <x v="3"/>
    <x v="2"/>
    <n v="140"/>
    <n v="30"/>
    <n v="4200"/>
  </r>
  <r>
    <x v="14"/>
    <s v="Mustafa YILDIRIM"/>
    <x v="1"/>
    <x v="3"/>
    <n v="144"/>
    <n v="50"/>
    <n v="7200"/>
  </r>
  <r>
    <x v="15"/>
    <s v="Gamze ATAK"/>
    <x v="2"/>
    <x v="3"/>
    <n v="144"/>
    <n v="50"/>
    <n v="7200"/>
  </r>
  <r>
    <x v="16"/>
    <s v="Gamze ATAK"/>
    <x v="2"/>
    <x v="4"/>
    <n v="152"/>
    <n v="50"/>
    <n v="7600"/>
  </r>
  <r>
    <x v="17"/>
    <s v="Gamze ATAK"/>
    <x v="2"/>
    <x v="4"/>
    <n v="152"/>
    <n v="50"/>
    <n v="7600"/>
  </r>
  <r>
    <x v="18"/>
    <s v="Gamze ATAK"/>
    <x v="3"/>
    <x v="4"/>
    <n v="157"/>
    <n v="50"/>
    <n v="7850"/>
  </r>
  <r>
    <x v="18"/>
    <s v="Gamze ATAK"/>
    <x v="1"/>
    <x v="4"/>
    <n v="157"/>
    <n v="50"/>
    <n v="7850"/>
  </r>
  <r>
    <x v="18"/>
    <s v="Mustafa YILDIRIM"/>
    <x v="2"/>
    <x v="4"/>
    <n v="215"/>
    <n v="25"/>
    <n v="5375"/>
  </r>
  <r>
    <x v="18"/>
    <s v="Mustafa YILDIRIM"/>
    <x v="0"/>
    <x v="4"/>
    <n v="215"/>
    <n v="25"/>
    <n v="5375"/>
  </r>
  <r>
    <x v="19"/>
    <s v="Gamze ATAK"/>
    <x v="3"/>
    <x v="4"/>
    <n v="220"/>
    <n v="25"/>
    <n v="5500"/>
  </r>
  <r>
    <x v="20"/>
    <s v="Mustafa YILDIRIM"/>
    <x v="1"/>
    <x v="4"/>
    <n v="220"/>
    <n v="25"/>
    <n v="5500"/>
  </r>
  <r>
    <x v="21"/>
    <s v="Gamze ATAK"/>
    <x v="2"/>
    <x v="2"/>
    <n v="240"/>
    <n v="30"/>
    <n v="7200"/>
  </r>
  <r>
    <x v="22"/>
    <s v="Gamze ATAK"/>
    <x v="2"/>
    <x v="2"/>
    <n v="240"/>
    <n v="30"/>
    <n v="7200"/>
  </r>
  <r>
    <x v="23"/>
    <s v="Mustafa YILDIRIM"/>
    <x v="2"/>
    <x v="2"/>
    <n v="245"/>
    <n v="30"/>
    <n v="7350"/>
  </r>
  <r>
    <x v="24"/>
    <s v="Mustafa YILDIRIM"/>
    <x v="0"/>
    <x v="2"/>
    <n v="245"/>
    <n v="30"/>
    <n v="7350"/>
  </r>
  <r>
    <x v="25"/>
    <s v="Hasan DAĞ"/>
    <x v="2"/>
    <x v="0"/>
    <n v="261"/>
    <n v="30"/>
    <n v="7830"/>
  </r>
  <r>
    <x v="26"/>
    <s v="Mustafa YILDIRIM"/>
    <x v="2"/>
    <x v="0"/>
    <n v="261"/>
    <n v="30"/>
    <n v="7830"/>
  </r>
  <r>
    <x v="26"/>
    <s v="Mustafa YILDIRIM"/>
    <x v="2"/>
    <x v="0"/>
    <n v="266"/>
    <n v="30"/>
    <n v="7980"/>
  </r>
  <r>
    <x v="27"/>
    <s v="Mustafa YILDIRIM"/>
    <x v="2"/>
    <x v="0"/>
    <n v="266"/>
    <n v="30"/>
    <n v="7980"/>
  </r>
  <r>
    <x v="25"/>
    <s v="Mustafa YILDIRIM"/>
    <x v="1"/>
    <x v="3"/>
    <n v="33"/>
    <n v="250"/>
    <n v="8250"/>
  </r>
  <r>
    <x v="26"/>
    <s v="Gamze ATAK"/>
    <x v="1"/>
    <x v="3"/>
    <n v="33"/>
    <n v="250"/>
    <n v="8250"/>
  </r>
  <r>
    <x v="26"/>
    <s v="Gamze ATAK"/>
    <x v="1"/>
    <x v="3"/>
    <n v="38"/>
    <n v="250"/>
    <n v="9500"/>
  </r>
  <r>
    <x v="27"/>
    <s v="Gamze ATAK"/>
    <x v="2"/>
    <x v="3"/>
    <n v="38"/>
    <n v="250"/>
    <n v="9500"/>
  </r>
  <r>
    <x v="12"/>
    <s v="Mustafa YILDIRIM"/>
    <x v="1"/>
    <x v="3"/>
    <n v="33"/>
    <n v="250"/>
    <n v="8250"/>
  </r>
  <r>
    <x v="26"/>
    <s v="Gamze ATAK"/>
    <x v="1"/>
    <x v="3"/>
    <n v="33"/>
    <n v="250"/>
    <n v="8250"/>
  </r>
  <r>
    <x v="26"/>
    <s v="Gamze ATAK"/>
    <x v="1"/>
    <x v="3"/>
    <n v="38"/>
    <n v="250"/>
    <n v="9500"/>
  </r>
  <r>
    <x v="15"/>
    <s v="Gamze ATAK"/>
    <x v="2"/>
    <x v="3"/>
    <n v="38"/>
    <n v="250"/>
    <n v="9500"/>
  </r>
  <r>
    <x v="26"/>
    <s v="Gamze ATAK"/>
    <x v="0"/>
    <x v="1"/>
    <n v="7"/>
    <n v="450"/>
    <n v="3150"/>
  </r>
  <r>
    <x v="27"/>
    <s v="Gamze ATAK"/>
    <x v="1"/>
    <x v="1"/>
    <n v="7"/>
    <n v="450"/>
    <n v="3150"/>
  </r>
  <r>
    <x v="12"/>
    <s v="Hasan DAĞ"/>
    <x v="0"/>
    <x v="1"/>
    <n v="10"/>
    <n v="450"/>
    <n v="4500"/>
  </r>
  <r>
    <x v="13"/>
    <s v="Gamze ATAK"/>
    <x v="2"/>
    <x v="1"/>
    <n v="10"/>
    <n v="450"/>
    <n v="4500"/>
  </r>
  <r>
    <x v="14"/>
    <s v="Mustafa YILDIRIM"/>
    <x v="1"/>
    <x v="1"/>
    <n v="12"/>
    <n v="450"/>
    <n v="5400"/>
  </r>
  <r>
    <x v="15"/>
    <s v="Gamze ATAK"/>
    <x v="2"/>
    <x v="1"/>
    <n v="12"/>
    <n v="450"/>
    <n v="5400"/>
  </r>
  <r>
    <x v="10"/>
    <s v="Gamze ATAK"/>
    <x v="0"/>
    <x v="1"/>
    <n v="7"/>
    <n v="450"/>
    <n v="3150"/>
  </r>
  <r>
    <x v="11"/>
    <s v="Gamze ATAK"/>
    <x v="1"/>
    <x v="1"/>
    <n v="7"/>
    <n v="450"/>
    <n v="3150"/>
  </r>
  <r>
    <x v="12"/>
    <s v="Hasan DAĞ"/>
    <x v="0"/>
    <x v="1"/>
    <n v="10"/>
    <n v="450"/>
    <n v="4500"/>
  </r>
  <r>
    <x v="13"/>
    <s v="Gamze ATAK"/>
    <x v="2"/>
    <x v="1"/>
    <n v="10"/>
    <n v="450"/>
    <n v="4500"/>
  </r>
  <r>
    <x v="14"/>
    <s v="Mustafa YILDIRIM"/>
    <x v="1"/>
    <x v="1"/>
    <n v="12"/>
    <n v="450"/>
    <n v="5400"/>
  </r>
  <r>
    <x v="7"/>
    <s v="Gamze ATAK"/>
    <x v="2"/>
    <x v="1"/>
    <n v="12"/>
    <n v="450"/>
    <n v="54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78F69B-1939-4876-A896-445C2E31C2D0}" name="PivotTable1" cacheId="1" applyNumberFormats="0" applyBorderFormats="0" applyFontFormats="0" applyPatternFormats="0" applyAlignmentFormats="0" applyWidthHeightFormats="1" dataCaption="Değerler" updatedVersion="7" minRefreshableVersion="3" itemPrintTitles="1" createdVersion="7" indent="0" outline="1" outlineData="1" multipleFieldFilters="0">
  <location ref="A3:E10" firstHeaderRow="1" firstDataRow="2" firstDataCol="1"/>
  <pivotFields count="8">
    <pivotField numFmtId="14"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showAll="0"/>
    <pivotField showAll="0"/>
    <pivotField axis="axisRow" showAll="0">
      <items count="6">
        <item x="3"/>
        <item x="2"/>
        <item x="4"/>
        <item x="0"/>
        <item x="1"/>
        <item t="default"/>
      </items>
    </pivotField>
    <pivotField numFmtId="167" showAll="0"/>
    <pivotField numFmtId="167" showAll="0"/>
    <pivotField dataField="1" numFmtId="164" showAll="0"/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7"/>
  </colFields>
  <colItems count="4">
    <i>
      <x v="1"/>
    </i>
    <i>
      <x v="2"/>
    </i>
    <i>
      <x v="3"/>
    </i>
    <i t="grand">
      <x/>
    </i>
  </colItems>
  <dataFields count="1">
    <dataField name="Toplam Tutar" fld="6" baseField="0" baseItem="0" numFmtId="3"/>
  </dataFields>
  <formats count="3">
    <format dxfId="23">
      <pivotArea outline="0" fieldPosition="0">
        <references count="1">
          <reference field="4294967294" count="1">
            <x v="0"/>
          </reference>
        </references>
      </pivotArea>
    </format>
    <format dxfId="22">
      <pivotArea collapsedLevelsAreSubtotals="1" fieldPosition="0">
        <references count="2">
          <reference field="3" count="1">
            <x v="1"/>
          </reference>
          <reference field="7" count="1" selected="0">
            <x v="3"/>
          </reference>
        </references>
      </pivotArea>
    </format>
    <format dxfId="21">
      <pivotArea collapsedLevelsAreSubtotals="1" fieldPosition="0">
        <references count="2">
          <reference field="3" count="1">
            <x v="0"/>
          </reference>
          <reference field="7" count="1" selected="0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4961C5-1AB7-4A78-ACAC-F90D7B369558}" name="PivotTable1" cacheId="1" applyNumberFormats="0" applyBorderFormats="0" applyFontFormats="0" applyPatternFormats="0" applyAlignmentFormats="0" applyWidthHeightFormats="1" dataCaption="Değerler" updatedVersion="7" minRefreshableVersion="3" itemPrintTitles="1" createdVersion="7" indent="0" outline="1" outlineData="1" multipleFieldFilters="0">
  <location ref="A3:E10" firstHeaderRow="1" firstDataRow="2" firstDataCol="1"/>
  <pivotFields count="8">
    <pivotField numFmtId="14"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showAll="0"/>
    <pivotField showAll="0"/>
    <pivotField axis="axisRow" showAll="0">
      <items count="6">
        <item x="3"/>
        <item x="2"/>
        <item x="4"/>
        <item x="0"/>
        <item x="1"/>
        <item t="default"/>
      </items>
    </pivotField>
    <pivotField numFmtId="167" showAll="0"/>
    <pivotField numFmtId="167" showAll="0"/>
    <pivotField dataField="1" numFmtId="164" showAll="0"/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7"/>
  </colFields>
  <colItems count="4">
    <i>
      <x v="1"/>
    </i>
    <i>
      <x v="2"/>
    </i>
    <i>
      <x v="3"/>
    </i>
    <i t="grand">
      <x/>
    </i>
  </colItems>
  <dataFields count="1">
    <dataField name="Toplam Tutar" fld="6" baseField="0" baseItem="0" numFmtId="3"/>
  </dataFields>
  <formats count="3">
    <format dxfId="20">
      <pivotArea outline="0" fieldPosition="0">
        <references count="1">
          <reference field="4294967294" count="1">
            <x v="0"/>
          </reference>
        </references>
      </pivotArea>
    </format>
    <format dxfId="19">
      <pivotArea collapsedLevelsAreSubtotals="1" fieldPosition="0">
        <references count="2">
          <reference field="3" count="1">
            <x v="1"/>
          </reference>
          <reference field="7" count="1" selected="0">
            <x v="3"/>
          </reference>
        </references>
      </pivotArea>
    </format>
    <format dxfId="18">
      <pivotArea collapsedLevelsAreSubtotals="1" fieldPosition="0">
        <references count="2">
          <reference field="3" count="1">
            <x v="0"/>
          </reference>
          <reference field="7" count="1" selected="0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348C00-C796-4187-B29E-8A98A47CF9FC}" name="PivotTable1" cacheId="1" applyNumberFormats="0" applyBorderFormats="0" applyFontFormats="0" applyPatternFormats="0" applyAlignmentFormats="0" applyWidthHeightFormats="1" dataCaption="Değerler" updatedVersion="7" minRefreshableVersion="3" rowGrandTotals="0" colGrandTotals="0" itemPrintTitles="1" createdVersion="7" indent="0" outline="1" outlineData="1" multipleFieldFilters="0">
  <location ref="A3:G27" firstHeaderRow="1" firstDataRow="3" firstDataCol="1"/>
  <pivotFields count="8">
    <pivotField numFmtId="14"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showAll="0"/>
    <pivotField axis="axisRow" showAll="0">
      <items count="5">
        <item x="0"/>
        <item x="1"/>
        <item x="2"/>
        <item x="3"/>
        <item t="default"/>
      </items>
    </pivotField>
    <pivotField axis="axisRow" showAll="0">
      <items count="6">
        <item x="3"/>
        <item x="2"/>
        <item x="4"/>
        <item x="0"/>
        <item x="1"/>
        <item t="default"/>
      </items>
    </pivotField>
    <pivotField dataField="1" numFmtId="167" showAll="0"/>
    <pivotField numFmtId="167" showAll="0"/>
    <pivotField dataField="1" numFmtId="164" showAll="0"/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2"/>
    <field x="3"/>
  </rowFields>
  <rowItems count="22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>
      <x v="2"/>
    </i>
    <i r="1">
      <x/>
    </i>
    <i r="1">
      <x v="1"/>
    </i>
    <i r="1">
      <x v="2"/>
    </i>
    <i r="1">
      <x v="3"/>
    </i>
    <i r="1">
      <x v="4"/>
    </i>
    <i>
      <x v="3"/>
    </i>
    <i r="1">
      <x v="1"/>
    </i>
    <i r="1">
      <x v="2"/>
    </i>
    <i r="1">
      <x v="3"/>
    </i>
  </rowItems>
  <colFields count="2">
    <field x="-2"/>
    <field x="7"/>
  </colFields>
  <colItems count="6">
    <i>
      <x/>
      <x v="1"/>
    </i>
    <i r="1">
      <x v="2"/>
    </i>
    <i r="1">
      <x v="3"/>
    </i>
    <i i="1">
      <x v="1"/>
      <x v="1"/>
    </i>
    <i r="1" i="1">
      <x v="2"/>
    </i>
    <i r="1" i="1">
      <x v="3"/>
    </i>
  </colItems>
  <dataFields count="2">
    <dataField name="Toplam Tutar" fld="6" baseField="0" baseItem="0" numFmtId="3"/>
    <dataField name="Toplam Adet" fld="4" baseField="0" baseItem="0"/>
  </dataFields>
  <formats count="3">
    <format dxfId="15">
      <pivotArea outline="0" fieldPosition="0">
        <references count="1">
          <reference field="4294967294" count="1">
            <x v="0"/>
          </reference>
        </references>
      </pivotArea>
    </format>
    <format dxfId="16">
      <pivotArea collapsedLevelsAreSubtotals="1" fieldPosition="0">
        <references count="2">
          <reference field="3" count="1">
            <x v="1"/>
          </reference>
          <reference field="7" count="1" selected="0">
            <x v="3"/>
          </reference>
        </references>
      </pivotArea>
    </format>
    <format dxfId="17">
      <pivotArea collapsedLevelsAreSubtotals="1" fieldPosition="0">
        <references count="2">
          <reference field="3" count="1">
            <x v="0"/>
          </reference>
          <reference field="7" count="1" selected="0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C6BB3-4C2D-4669-87C5-10173E0113DF}">
  <sheetPr>
    <pageSetUpPr fitToPage="1"/>
  </sheetPr>
  <dimension ref="A1:K89"/>
  <sheetViews>
    <sheetView showGridLines="0" tabSelected="1" zoomScaleNormal="100" workbookViewId="0">
      <selection activeCell="I6" sqref="I6"/>
    </sheetView>
  </sheetViews>
  <sheetFormatPr defaultRowHeight="15" x14ac:dyDescent="0.25"/>
  <cols>
    <col min="1" max="1" width="16.7109375" style="16" bestFit="1" customWidth="1"/>
    <col min="2" max="2" width="19" style="12" customWidth="1"/>
    <col min="3" max="3" width="17.140625" style="17" customWidth="1"/>
    <col min="4" max="4" width="15.28515625" style="12" customWidth="1"/>
    <col min="5" max="5" width="9" style="12" customWidth="1"/>
    <col min="6" max="6" width="9.5703125" style="12" customWidth="1"/>
    <col min="7" max="7" width="13.5703125" style="18" bestFit="1" customWidth="1"/>
  </cols>
  <sheetData>
    <row r="1" spans="1:11" ht="20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11" x14ac:dyDescent="0.25">
      <c r="A2" s="8">
        <v>44562</v>
      </c>
      <c r="B2" s="9" t="s">
        <v>8</v>
      </c>
      <c r="C2" s="11" t="s">
        <v>9</v>
      </c>
      <c r="D2" s="4" t="s">
        <v>16</v>
      </c>
      <c r="E2" s="6">
        <v>6</v>
      </c>
      <c r="F2" s="6">
        <v>75</v>
      </c>
      <c r="G2" s="7">
        <f t="shared" ref="G2:G33" si="0">E2*F2</f>
        <v>450</v>
      </c>
    </row>
    <row r="3" spans="1:11" x14ac:dyDescent="0.25">
      <c r="A3" s="8">
        <v>44571</v>
      </c>
      <c r="B3" s="9" t="s">
        <v>8</v>
      </c>
      <c r="C3" s="11" t="s">
        <v>17</v>
      </c>
      <c r="D3" s="4" t="s">
        <v>16</v>
      </c>
      <c r="E3" s="6">
        <v>6</v>
      </c>
      <c r="F3" s="6">
        <v>75</v>
      </c>
      <c r="G3" s="7">
        <f t="shared" si="0"/>
        <v>450</v>
      </c>
    </row>
    <row r="4" spans="1:11" x14ac:dyDescent="0.25">
      <c r="A4" s="8">
        <v>44572</v>
      </c>
      <c r="B4" s="9" t="s">
        <v>8</v>
      </c>
      <c r="C4" s="5" t="s">
        <v>9</v>
      </c>
      <c r="D4" s="4" t="s">
        <v>10</v>
      </c>
      <c r="E4" s="6">
        <v>7</v>
      </c>
      <c r="F4" s="6">
        <v>450</v>
      </c>
      <c r="G4" s="7">
        <f t="shared" si="0"/>
        <v>3150</v>
      </c>
    </row>
    <row r="5" spans="1:11" x14ac:dyDescent="0.25">
      <c r="A5" s="10">
        <v>44577</v>
      </c>
      <c r="B5" s="9" t="s">
        <v>8</v>
      </c>
      <c r="C5" s="11" t="s">
        <v>17</v>
      </c>
      <c r="D5" s="4" t="s">
        <v>10</v>
      </c>
      <c r="E5" s="6">
        <v>7</v>
      </c>
      <c r="F5" s="6">
        <v>450</v>
      </c>
      <c r="G5" s="7">
        <f t="shared" si="0"/>
        <v>3150</v>
      </c>
    </row>
    <row r="6" spans="1:11" x14ac:dyDescent="0.25">
      <c r="A6" s="8">
        <v>44578</v>
      </c>
      <c r="B6" s="9" t="s">
        <v>15</v>
      </c>
      <c r="C6" s="5" t="s">
        <v>9</v>
      </c>
      <c r="D6" s="4" t="s">
        <v>12</v>
      </c>
      <c r="E6" s="6">
        <v>10</v>
      </c>
      <c r="F6" s="6">
        <v>250</v>
      </c>
      <c r="G6" s="7">
        <f t="shared" si="0"/>
        <v>2500</v>
      </c>
    </row>
    <row r="7" spans="1:11" x14ac:dyDescent="0.25">
      <c r="A7" s="8">
        <v>44579</v>
      </c>
      <c r="B7" s="9" t="s">
        <v>8</v>
      </c>
      <c r="C7" s="11" t="s">
        <v>18</v>
      </c>
      <c r="D7" s="4" t="s">
        <v>12</v>
      </c>
      <c r="E7" s="6">
        <v>10</v>
      </c>
      <c r="F7" s="6">
        <v>250</v>
      </c>
      <c r="G7" s="7">
        <f t="shared" si="0"/>
        <v>2500</v>
      </c>
    </row>
    <row r="8" spans="1:11" x14ac:dyDescent="0.25">
      <c r="A8" s="8">
        <v>44580</v>
      </c>
      <c r="B8" s="9" t="s">
        <v>11</v>
      </c>
      <c r="C8" s="11" t="s">
        <v>17</v>
      </c>
      <c r="D8" s="4" t="s">
        <v>10</v>
      </c>
      <c r="E8" s="6">
        <v>12</v>
      </c>
      <c r="F8" s="6">
        <v>450</v>
      </c>
      <c r="G8" s="7">
        <f t="shared" si="0"/>
        <v>5400</v>
      </c>
      <c r="J8" s="12"/>
    </row>
    <row r="9" spans="1:11" x14ac:dyDescent="0.25">
      <c r="A9" s="3">
        <v>44582</v>
      </c>
      <c r="B9" s="4" t="s">
        <v>8</v>
      </c>
      <c r="C9" s="11" t="s">
        <v>18</v>
      </c>
      <c r="D9" s="4" t="s">
        <v>10</v>
      </c>
      <c r="E9" s="6">
        <v>12</v>
      </c>
      <c r="F9" s="6">
        <v>450</v>
      </c>
      <c r="G9" s="7">
        <f t="shared" si="0"/>
        <v>5400</v>
      </c>
    </row>
    <row r="10" spans="1:11" x14ac:dyDescent="0.25">
      <c r="A10" s="3">
        <v>44582</v>
      </c>
      <c r="B10" s="4" t="s">
        <v>8</v>
      </c>
      <c r="C10" s="5" t="s">
        <v>9</v>
      </c>
      <c r="D10" s="4" t="s">
        <v>12</v>
      </c>
      <c r="E10" s="6">
        <v>23</v>
      </c>
      <c r="F10" s="6">
        <v>450</v>
      </c>
      <c r="G10" s="7">
        <f t="shared" si="0"/>
        <v>10350</v>
      </c>
      <c r="K10" s="13"/>
    </row>
    <row r="11" spans="1:11" x14ac:dyDescent="0.25">
      <c r="A11" s="10">
        <v>44583</v>
      </c>
      <c r="B11" s="9" t="s">
        <v>8</v>
      </c>
      <c r="C11" s="11" t="s">
        <v>17</v>
      </c>
      <c r="D11" s="4" t="s">
        <v>12</v>
      </c>
      <c r="E11" s="6">
        <v>23</v>
      </c>
      <c r="F11" s="6">
        <v>450</v>
      </c>
      <c r="G11" s="7">
        <f t="shared" si="0"/>
        <v>10350</v>
      </c>
    </row>
    <row r="12" spans="1:11" x14ac:dyDescent="0.25">
      <c r="A12" s="8">
        <v>44583</v>
      </c>
      <c r="B12" s="9" t="s">
        <v>11</v>
      </c>
      <c r="C12" s="11" t="s">
        <v>17</v>
      </c>
      <c r="D12" s="4" t="s">
        <v>12</v>
      </c>
      <c r="E12" s="6">
        <v>28</v>
      </c>
      <c r="F12" s="6">
        <v>450</v>
      </c>
      <c r="G12" s="7">
        <f t="shared" si="0"/>
        <v>12600</v>
      </c>
    </row>
    <row r="13" spans="1:11" x14ac:dyDescent="0.25">
      <c r="A13" s="8">
        <v>44593</v>
      </c>
      <c r="B13" s="4" t="s">
        <v>8</v>
      </c>
      <c r="C13" s="11" t="s">
        <v>19</v>
      </c>
      <c r="D13" s="4" t="s">
        <v>12</v>
      </c>
      <c r="E13" s="6">
        <v>28</v>
      </c>
      <c r="F13" s="6">
        <v>450</v>
      </c>
      <c r="G13" s="7">
        <f t="shared" si="0"/>
        <v>12600</v>
      </c>
    </row>
    <row r="14" spans="1:11" x14ac:dyDescent="0.25">
      <c r="A14" s="8">
        <v>44594</v>
      </c>
      <c r="B14" s="9" t="s">
        <v>11</v>
      </c>
      <c r="C14" s="11" t="s">
        <v>17</v>
      </c>
      <c r="D14" s="4" t="s">
        <v>13</v>
      </c>
      <c r="E14" s="6">
        <v>33</v>
      </c>
      <c r="F14" s="6">
        <v>250</v>
      </c>
      <c r="G14" s="7">
        <f t="shared" si="0"/>
        <v>8250</v>
      </c>
    </row>
    <row r="15" spans="1:11" x14ac:dyDescent="0.25">
      <c r="A15" s="8">
        <v>44595</v>
      </c>
      <c r="B15" s="4" t="s">
        <v>8</v>
      </c>
      <c r="C15" s="11" t="s">
        <v>17</v>
      </c>
      <c r="D15" s="4" t="s">
        <v>13</v>
      </c>
      <c r="E15" s="6">
        <v>33</v>
      </c>
      <c r="F15" s="6">
        <v>250</v>
      </c>
      <c r="G15" s="7">
        <f t="shared" si="0"/>
        <v>8250</v>
      </c>
      <c r="K15" s="14"/>
    </row>
    <row r="16" spans="1:11" x14ac:dyDescent="0.25">
      <c r="A16" s="8">
        <v>44596</v>
      </c>
      <c r="B16" s="9" t="s">
        <v>8</v>
      </c>
      <c r="C16" s="11" t="s">
        <v>17</v>
      </c>
      <c r="D16" s="4" t="s">
        <v>13</v>
      </c>
      <c r="E16" s="6">
        <v>38</v>
      </c>
      <c r="F16" s="6">
        <v>250</v>
      </c>
      <c r="G16" s="7">
        <f t="shared" si="0"/>
        <v>9500</v>
      </c>
    </row>
    <row r="17" spans="1:11" x14ac:dyDescent="0.25">
      <c r="A17" s="8">
        <v>44597</v>
      </c>
      <c r="B17" s="9" t="s">
        <v>8</v>
      </c>
      <c r="C17" s="11" t="s">
        <v>18</v>
      </c>
      <c r="D17" s="4" t="s">
        <v>13</v>
      </c>
      <c r="E17" s="6">
        <v>38</v>
      </c>
      <c r="F17" s="6">
        <v>250</v>
      </c>
      <c r="G17" s="7">
        <f t="shared" si="0"/>
        <v>9500</v>
      </c>
      <c r="K17" s="15"/>
    </row>
    <row r="18" spans="1:11" x14ac:dyDescent="0.25">
      <c r="A18" s="8">
        <v>44598</v>
      </c>
      <c r="B18" s="9" t="s">
        <v>11</v>
      </c>
      <c r="C18" s="11" t="s">
        <v>17</v>
      </c>
      <c r="D18" s="4" t="s">
        <v>12</v>
      </c>
      <c r="E18" s="6">
        <v>67</v>
      </c>
      <c r="F18" s="6">
        <v>250</v>
      </c>
      <c r="G18" s="7">
        <f t="shared" si="0"/>
        <v>16750</v>
      </c>
    </row>
    <row r="19" spans="1:11" x14ac:dyDescent="0.25">
      <c r="A19" s="8">
        <v>44607</v>
      </c>
      <c r="B19" s="9" t="s">
        <v>8</v>
      </c>
      <c r="C19" s="11" t="s">
        <v>19</v>
      </c>
      <c r="D19" s="4" t="s">
        <v>12</v>
      </c>
      <c r="E19" s="6">
        <v>67</v>
      </c>
      <c r="F19" s="6">
        <v>250</v>
      </c>
      <c r="G19" s="7">
        <f t="shared" si="0"/>
        <v>16750</v>
      </c>
    </row>
    <row r="20" spans="1:11" x14ac:dyDescent="0.25">
      <c r="A20" s="8">
        <v>44608</v>
      </c>
      <c r="B20" s="9" t="s">
        <v>8</v>
      </c>
      <c r="C20" s="11" t="s">
        <v>18</v>
      </c>
      <c r="D20" s="4" t="s">
        <v>16</v>
      </c>
      <c r="E20" s="6">
        <v>70</v>
      </c>
      <c r="F20" s="6">
        <v>75</v>
      </c>
      <c r="G20" s="7">
        <f t="shared" si="0"/>
        <v>5250</v>
      </c>
    </row>
    <row r="21" spans="1:11" x14ac:dyDescent="0.25">
      <c r="A21" s="8">
        <v>44609</v>
      </c>
      <c r="B21" s="9" t="s">
        <v>8</v>
      </c>
      <c r="C21" s="5" t="s">
        <v>9</v>
      </c>
      <c r="D21" s="4" t="s">
        <v>16</v>
      </c>
      <c r="E21" s="6">
        <v>70</v>
      </c>
      <c r="F21" s="6">
        <v>75</v>
      </c>
      <c r="G21" s="7">
        <f t="shared" si="0"/>
        <v>5250</v>
      </c>
    </row>
    <row r="22" spans="1:11" x14ac:dyDescent="0.25">
      <c r="A22" s="8">
        <v>44623</v>
      </c>
      <c r="B22" s="9" t="s">
        <v>8</v>
      </c>
      <c r="C22" s="11" t="s">
        <v>19</v>
      </c>
      <c r="D22" s="4" t="s">
        <v>16</v>
      </c>
      <c r="E22" s="6">
        <v>75</v>
      </c>
      <c r="F22" s="6">
        <v>75</v>
      </c>
      <c r="G22" s="7">
        <f t="shared" si="0"/>
        <v>5625</v>
      </c>
    </row>
    <row r="23" spans="1:11" x14ac:dyDescent="0.25">
      <c r="A23" s="8">
        <v>44623</v>
      </c>
      <c r="B23" s="9" t="s">
        <v>8</v>
      </c>
      <c r="C23" s="11" t="s">
        <v>17</v>
      </c>
      <c r="D23" s="4" t="s">
        <v>16</v>
      </c>
      <c r="E23" s="6">
        <v>75</v>
      </c>
      <c r="F23" s="6">
        <v>75</v>
      </c>
      <c r="G23" s="7">
        <f t="shared" si="0"/>
        <v>5625</v>
      </c>
    </row>
    <row r="24" spans="1:11" x14ac:dyDescent="0.25">
      <c r="A24" s="8">
        <v>44623</v>
      </c>
      <c r="B24" s="9" t="s">
        <v>11</v>
      </c>
      <c r="C24" s="11" t="s">
        <v>17</v>
      </c>
      <c r="D24" s="4" t="s">
        <v>13</v>
      </c>
      <c r="E24" s="6">
        <v>87</v>
      </c>
      <c r="F24" s="6">
        <v>75</v>
      </c>
      <c r="G24" s="7">
        <f t="shared" si="0"/>
        <v>6525</v>
      </c>
    </row>
    <row r="25" spans="1:11" x14ac:dyDescent="0.25">
      <c r="A25" s="8">
        <v>44623</v>
      </c>
      <c r="B25" s="4" t="s">
        <v>11</v>
      </c>
      <c r="C25" s="11" t="s">
        <v>17</v>
      </c>
      <c r="D25" s="4" t="s">
        <v>13</v>
      </c>
      <c r="E25" s="6">
        <v>87</v>
      </c>
      <c r="F25" s="6">
        <v>75</v>
      </c>
      <c r="G25" s="7">
        <f t="shared" si="0"/>
        <v>6525</v>
      </c>
    </row>
    <row r="26" spans="1:11" x14ac:dyDescent="0.25">
      <c r="A26" s="8">
        <v>44628</v>
      </c>
      <c r="B26" s="9" t="s">
        <v>8</v>
      </c>
      <c r="C26" s="11" t="s">
        <v>17</v>
      </c>
      <c r="D26" s="4" t="s">
        <v>13</v>
      </c>
      <c r="E26" s="6">
        <v>92</v>
      </c>
      <c r="F26" s="6">
        <v>75</v>
      </c>
      <c r="G26" s="7">
        <f t="shared" si="0"/>
        <v>6900</v>
      </c>
    </row>
    <row r="27" spans="1:11" x14ac:dyDescent="0.25">
      <c r="A27" s="8">
        <v>44629</v>
      </c>
      <c r="B27" s="9" t="s">
        <v>11</v>
      </c>
      <c r="C27" s="11" t="s">
        <v>18</v>
      </c>
      <c r="D27" s="4" t="s">
        <v>13</v>
      </c>
      <c r="E27" s="6">
        <v>92</v>
      </c>
      <c r="F27" s="6">
        <v>75</v>
      </c>
      <c r="G27" s="7">
        <f t="shared" si="0"/>
        <v>6900</v>
      </c>
    </row>
    <row r="28" spans="1:11" x14ac:dyDescent="0.25">
      <c r="A28" s="8">
        <v>44630</v>
      </c>
      <c r="B28" s="9" t="s">
        <v>8</v>
      </c>
      <c r="C28" s="11" t="s">
        <v>18</v>
      </c>
      <c r="D28" s="4" t="s">
        <v>16</v>
      </c>
      <c r="E28" s="6">
        <v>95</v>
      </c>
      <c r="F28" s="6">
        <v>75</v>
      </c>
      <c r="G28" s="7">
        <f t="shared" si="0"/>
        <v>7125</v>
      </c>
    </row>
    <row r="29" spans="1:11" x14ac:dyDescent="0.25">
      <c r="A29" s="8">
        <v>44631</v>
      </c>
      <c r="B29" s="9" t="s">
        <v>8</v>
      </c>
      <c r="C29" s="5" t="s">
        <v>9</v>
      </c>
      <c r="D29" s="4" t="s">
        <v>16</v>
      </c>
      <c r="E29" s="6">
        <v>95</v>
      </c>
      <c r="F29" s="6">
        <v>75</v>
      </c>
      <c r="G29" s="7">
        <f t="shared" si="0"/>
        <v>7125</v>
      </c>
    </row>
    <row r="30" spans="1:11" x14ac:dyDescent="0.25">
      <c r="A30" s="8">
        <v>44632</v>
      </c>
      <c r="B30" s="9" t="s">
        <v>11</v>
      </c>
      <c r="C30" s="11" t="s">
        <v>18</v>
      </c>
      <c r="D30" s="4" t="s">
        <v>16</v>
      </c>
      <c r="E30" s="6">
        <v>99</v>
      </c>
      <c r="F30" s="6">
        <v>50</v>
      </c>
      <c r="G30" s="7">
        <f t="shared" si="0"/>
        <v>4950</v>
      </c>
    </row>
    <row r="31" spans="1:11" x14ac:dyDescent="0.25">
      <c r="A31" s="8">
        <v>44633</v>
      </c>
      <c r="B31" s="9" t="s">
        <v>11</v>
      </c>
      <c r="C31" s="11" t="s">
        <v>17</v>
      </c>
      <c r="D31" s="4" t="s">
        <v>16</v>
      </c>
      <c r="E31" s="6">
        <v>99</v>
      </c>
      <c r="F31" s="6">
        <v>50</v>
      </c>
      <c r="G31" s="7">
        <f t="shared" si="0"/>
        <v>4950</v>
      </c>
    </row>
    <row r="32" spans="1:11" x14ac:dyDescent="0.25">
      <c r="A32" s="8">
        <v>44634</v>
      </c>
      <c r="B32" s="9" t="s">
        <v>15</v>
      </c>
      <c r="C32" s="11" t="s">
        <v>18</v>
      </c>
      <c r="D32" s="4" t="s">
        <v>16</v>
      </c>
      <c r="E32" s="6">
        <v>100</v>
      </c>
      <c r="F32" s="6">
        <v>75</v>
      </c>
      <c r="G32" s="7">
        <f t="shared" si="0"/>
        <v>7500</v>
      </c>
    </row>
    <row r="33" spans="1:7" x14ac:dyDescent="0.25">
      <c r="A33" s="8">
        <v>44641</v>
      </c>
      <c r="B33" s="9" t="s">
        <v>11</v>
      </c>
      <c r="C33" s="5" t="s">
        <v>9</v>
      </c>
      <c r="D33" s="4" t="s">
        <v>16</v>
      </c>
      <c r="E33" s="6">
        <v>100</v>
      </c>
      <c r="F33" s="6">
        <v>75</v>
      </c>
      <c r="G33" s="7">
        <f t="shared" si="0"/>
        <v>7500</v>
      </c>
    </row>
    <row r="34" spans="1:7" x14ac:dyDescent="0.25">
      <c r="A34" s="8">
        <v>44641</v>
      </c>
      <c r="B34" s="9" t="s">
        <v>11</v>
      </c>
      <c r="C34" s="11" t="s">
        <v>18</v>
      </c>
      <c r="D34" s="4" t="s">
        <v>16</v>
      </c>
      <c r="E34" s="6">
        <v>104</v>
      </c>
      <c r="F34" s="6">
        <v>50</v>
      </c>
      <c r="G34" s="7">
        <f t="shared" ref="G34:G65" si="1">E34*F34</f>
        <v>5200</v>
      </c>
    </row>
    <row r="35" spans="1:7" x14ac:dyDescent="0.25">
      <c r="A35" s="3">
        <v>44650</v>
      </c>
      <c r="B35" s="4" t="s">
        <v>11</v>
      </c>
      <c r="C35" s="11" t="s">
        <v>9</v>
      </c>
      <c r="D35" s="4" t="s">
        <v>16</v>
      </c>
      <c r="E35" s="6">
        <v>104</v>
      </c>
      <c r="F35" s="6">
        <v>50</v>
      </c>
      <c r="G35" s="7">
        <f t="shared" si="1"/>
        <v>5200</v>
      </c>
    </row>
    <row r="36" spans="1:7" x14ac:dyDescent="0.25">
      <c r="A36" s="8">
        <v>44562</v>
      </c>
      <c r="B36" s="9" t="s">
        <v>8</v>
      </c>
      <c r="C36" s="5" t="s">
        <v>9</v>
      </c>
      <c r="D36" s="9" t="s">
        <v>13</v>
      </c>
      <c r="E36" s="6">
        <v>114</v>
      </c>
      <c r="F36" s="6">
        <v>50</v>
      </c>
      <c r="G36" s="7">
        <f t="shared" si="1"/>
        <v>5700</v>
      </c>
    </row>
    <row r="37" spans="1:7" x14ac:dyDescent="0.25">
      <c r="A37" s="8">
        <v>44571</v>
      </c>
      <c r="B37" s="9" t="s">
        <v>8</v>
      </c>
      <c r="C37" s="11" t="s">
        <v>17</v>
      </c>
      <c r="D37" s="9" t="s">
        <v>13</v>
      </c>
      <c r="E37" s="6">
        <v>114</v>
      </c>
      <c r="F37" s="6">
        <v>50</v>
      </c>
      <c r="G37" s="7">
        <f t="shared" si="1"/>
        <v>5700</v>
      </c>
    </row>
    <row r="38" spans="1:7" x14ac:dyDescent="0.25">
      <c r="A38" s="8">
        <v>44572</v>
      </c>
      <c r="B38" s="9" t="s">
        <v>8</v>
      </c>
      <c r="C38" s="11" t="s">
        <v>17</v>
      </c>
      <c r="D38" s="9" t="s">
        <v>13</v>
      </c>
      <c r="E38" s="6">
        <v>119</v>
      </c>
      <c r="F38" s="6">
        <v>50</v>
      </c>
      <c r="G38" s="7">
        <f t="shared" si="1"/>
        <v>5950</v>
      </c>
    </row>
    <row r="39" spans="1:7" x14ac:dyDescent="0.25">
      <c r="A39" s="10">
        <v>44577</v>
      </c>
      <c r="B39" s="9" t="s">
        <v>8</v>
      </c>
      <c r="C39" s="11" t="s">
        <v>18</v>
      </c>
      <c r="D39" s="9" t="s">
        <v>13</v>
      </c>
      <c r="E39" s="6">
        <v>119</v>
      </c>
      <c r="F39" s="6">
        <v>50</v>
      </c>
      <c r="G39" s="7">
        <f t="shared" si="1"/>
        <v>5950</v>
      </c>
    </row>
    <row r="40" spans="1:7" x14ac:dyDescent="0.25">
      <c r="A40" s="8">
        <v>44578</v>
      </c>
      <c r="B40" s="9" t="s">
        <v>15</v>
      </c>
      <c r="C40" s="5" t="s">
        <v>9</v>
      </c>
      <c r="D40" s="9" t="s">
        <v>14</v>
      </c>
      <c r="E40" s="6">
        <v>126</v>
      </c>
      <c r="F40" s="6">
        <v>75</v>
      </c>
      <c r="G40" s="7">
        <f t="shared" si="1"/>
        <v>9450</v>
      </c>
    </row>
    <row r="41" spans="1:7" x14ac:dyDescent="0.25">
      <c r="A41" s="8">
        <v>44579</v>
      </c>
      <c r="B41" s="9" t="s">
        <v>8</v>
      </c>
      <c r="C41" s="11" t="s">
        <v>18</v>
      </c>
      <c r="D41" s="4" t="s">
        <v>16</v>
      </c>
      <c r="E41" s="6">
        <v>126</v>
      </c>
      <c r="F41" s="6">
        <v>75</v>
      </c>
      <c r="G41" s="7">
        <f t="shared" si="1"/>
        <v>9450</v>
      </c>
    </row>
    <row r="42" spans="1:7" x14ac:dyDescent="0.25">
      <c r="A42" s="8">
        <v>44580</v>
      </c>
      <c r="B42" s="9" t="s">
        <v>11</v>
      </c>
      <c r="C42" s="5" t="s">
        <v>9</v>
      </c>
      <c r="D42" s="4" t="s">
        <v>16</v>
      </c>
      <c r="E42" s="6">
        <v>126</v>
      </c>
      <c r="F42" s="6">
        <v>75</v>
      </c>
      <c r="G42" s="7">
        <f t="shared" si="1"/>
        <v>9450</v>
      </c>
    </row>
    <row r="43" spans="1:7" x14ac:dyDescent="0.25">
      <c r="A43" s="3">
        <v>44582</v>
      </c>
      <c r="B43" s="4" t="s">
        <v>8</v>
      </c>
      <c r="C43" s="11" t="s">
        <v>18</v>
      </c>
      <c r="D43" s="9" t="s">
        <v>14</v>
      </c>
      <c r="E43" s="6">
        <v>126</v>
      </c>
      <c r="F43" s="6">
        <v>75</v>
      </c>
      <c r="G43" s="7">
        <f t="shared" si="1"/>
        <v>9450</v>
      </c>
    </row>
    <row r="44" spans="1:7" x14ac:dyDescent="0.25">
      <c r="A44" s="3">
        <v>44582</v>
      </c>
      <c r="B44" s="4" t="s">
        <v>8</v>
      </c>
      <c r="C44" s="11" t="s">
        <v>17</v>
      </c>
      <c r="D44" s="9" t="s">
        <v>14</v>
      </c>
      <c r="E44" s="6">
        <v>131</v>
      </c>
      <c r="F44" s="6">
        <v>75</v>
      </c>
      <c r="G44" s="7">
        <f t="shared" si="1"/>
        <v>9825</v>
      </c>
    </row>
    <row r="45" spans="1:7" x14ac:dyDescent="0.25">
      <c r="A45" s="10">
        <v>44583</v>
      </c>
      <c r="B45" s="9" t="s">
        <v>8</v>
      </c>
      <c r="C45" s="11" t="s">
        <v>18</v>
      </c>
      <c r="D45" s="9" t="s">
        <v>14</v>
      </c>
      <c r="E45" s="6">
        <v>131</v>
      </c>
      <c r="F45" s="6">
        <v>75</v>
      </c>
      <c r="G45" s="7">
        <f t="shared" si="1"/>
        <v>9825</v>
      </c>
    </row>
    <row r="46" spans="1:7" x14ac:dyDescent="0.25">
      <c r="A46" s="8">
        <v>44583</v>
      </c>
      <c r="B46" s="9" t="s">
        <v>11</v>
      </c>
      <c r="C46" s="5" t="s">
        <v>9</v>
      </c>
      <c r="D46" s="9" t="s">
        <v>12</v>
      </c>
      <c r="E46" s="6">
        <v>135</v>
      </c>
      <c r="F46" s="6">
        <v>30</v>
      </c>
      <c r="G46" s="7">
        <f t="shared" si="1"/>
        <v>4050</v>
      </c>
    </row>
    <row r="47" spans="1:7" x14ac:dyDescent="0.25">
      <c r="A47" s="8">
        <v>44593</v>
      </c>
      <c r="B47" s="4" t="s">
        <v>8</v>
      </c>
      <c r="C47" s="11" t="s">
        <v>17</v>
      </c>
      <c r="D47" s="9" t="s">
        <v>12</v>
      </c>
      <c r="E47" s="6">
        <v>135</v>
      </c>
      <c r="F47" s="6">
        <v>30</v>
      </c>
      <c r="G47" s="7">
        <f t="shared" si="1"/>
        <v>4050</v>
      </c>
    </row>
    <row r="48" spans="1:7" x14ac:dyDescent="0.25">
      <c r="A48" s="8">
        <v>44594</v>
      </c>
      <c r="B48" s="9" t="s">
        <v>11</v>
      </c>
      <c r="C48" s="11" t="s">
        <v>17</v>
      </c>
      <c r="D48" s="9" t="s">
        <v>13</v>
      </c>
      <c r="E48" s="6">
        <v>139</v>
      </c>
      <c r="F48" s="6">
        <v>50</v>
      </c>
      <c r="G48" s="7">
        <f t="shared" si="1"/>
        <v>6950</v>
      </c>
    </row>
    <row r="49" spans="1:7" x14ac:dyDescent="0.25">
      <c r="A49" s="8">
        <v>44595</v>
      </c>
      <c r="B49" s="4" t="s">
        <v>8</v>
      </c>
      <c r="C49" s="11" t="s">
        <v>17</v>
      </c>
      <c r="D49" s="9" t="s">
        <v>13</v>
      </c>
      <c r="E49" s="6">
        <v>139</v>
      </c>
      <c r="F49" s="6">
        <v>50</v>
      </c>
      <c r="G49" s="7">
        <f t="shared" si="1"/>
        <v>6950</v>
      </c>
    </row>
    <row r="50" spans="1:7" x14ac:dyDescent="0.25">
      <c r="A50" s="8">
        <v>44596</v>
      </c>
      <c r="B50" s="9" t="s">
        <v>8</v>
      </c>
      <c r="C50" s="11" t="s">
        <v>17</v>
      </c>
      <c r="D50" s="9" t="s">
        <v>12</v>
      </c>
      <c r="E50" s="6">
        <v>140</v>
      </c>
      <c r="F50" s="6">
        <v>30</v>
      </c>
      <c r="G50" s="7">
        <f t="shared" si="1"/>
        <v>4200</v>
      </c>
    </row>
    <row r="51" spans="1:7" x14ac:dyDescent="0.25">
      <c r="A51" s="8">
        <v>44597</v>
      </c>
      <c r="B51" s="9" t="s">
        <v>8</v>
      </c>
      <c r="C51" s="5" t="s">
        <v>19</v>
      </c>
      <c r="D51" s="9" t="s">
        <v>12</v>
      </c>
      <c r="E51" s="6">
        <v>140</v>
      </c>
      <c r="F51" s="6">
        <v>30</v>
      </c>
      <c r="G51" s="7">
        <f t="shared" si="1"/>
        <v>4200</v>
      </c>
    </row>
    <row r="52" spans="1:7" x14ac:dyDescent="0.25">
      <c r="A52" s="8">
        <v>44598</v>
      </c>
      <c r="B52" s="9" t="s">
        <v>11</v>
      </c>
      <c r="C52" s="11" t="s">
        <v>17</v>
      </c>
      <c r="D52" s="9" t="s">
        <v>13</v>
      </c>
      <c r="E52" s="6">
        <v>144</v>
      </c>
      <c r="F52" s="6">
        <v>50</v>
      </c>
      <c r="G52" s="7">
        <f t="shared" si="1"/>
        <v>7200</v>
      </c>
    </row>
    <row r="53" spans="1:7" x14ac:dyDescent="0.25">
      <c r="A53" s="8">
        <v>44607</v>
      </c>
      <c r="B53" s="9" t="s">
        <v>8</v>
      </c>
      <c r="C53" s="11" t="s">
        <v>18</v>
      </c>
      <c r="D53" s="9" t="s">
        <v>13</v>
      </c>
      <c r="E53" s="6">
        <v>144</v>
      </c>
      <c r="F53" s="6">
        <v>50</v>
      </c>
      <c r="G53" s="7">
        <f t="shared" si="1"/>
        <v>7200</v>
      </c>
    </row>
    <row r="54" spans="1:7" x14ac:dyDescent="0.25">
      <c r="A54" s="8">
        <v>44608</v>
      </c>
      <c r="B54" s="9" t="s">
        <v>8</v>
      </c>
      <c r="C54" s="11" t="s">
        <v>18</v>
      </c>
      <c r="D54" s="4" t="s">
        <v>14</v>
      </c>
      <c r="E54" s="6">
        <v>152</v>
      </c>
      <c r="F54" s="6">
        <v>50</v>
      </c>
      <c r="G54" s="7">
        <f t="shared" si="1"/>
        <v>7600</v>
      </c>
    </row>
    <row r="55" spans="1:7" x14ac:dyDescent="0.25">
      <c r="A55" s="8">
        <v>44609</v>
      </c>
      <c r="B55" s="9" t="s">
        <v>8</v>
      </c>
      <c r="C55" s="11" t="s">
        <v>18</v>
      </c>
      <c r="D55" s="4" t="s">
        <v>14</v>
      </c>
      <c r="E55" s="6">
        <v>152</v>
      </c>
      <c r="F55" s="6">
        <v>50</v>
      </c>
      <c r="G55" s="7">
        <f t="shared" si="1"/>
        <v>7600</v>
      </c>
    </row>
    <row r="56" spans="1:7" x14ac:dyDescent="0.25">
      <c r="A56" s="8">
        <v>44623</v>
      </c>
      <c r="B56" s="9" t="s">
        <v>8</v>
      </c>
      <c r="C56" s="11" t="s">
        <v>19</v>
      </c>
      <c r="D56" s="4" t="s">
        <v>14</v>
      </c>
      <c r="E56" s="6">
        <v>157</v>
      </c>
      <c r="F56" s="6">
        <v>50</v>
      </c>
      <c r="G56" s="7">
        <f t="shared" si="1"/>
        <v>7850</v>
      </c>
    </row>
    <row r="57" spans="1:7" x14ac:dyDescent="0.25">
      <c r="A57" s="8">
        <v>44623</v>
      </c>
      <c r="B57" s="9" t="s">
        <v>8</v>
      </c>
      <c r="C57" s="11" t="s">
        <v>17</v>
      </c>
      <c r="D57" s="4" t="s">
        <v>14</v>
      </c>
      <c r="E57" s="6">
        <v>157</v>
      </c>
      <c r="F57" s="6">
        <v>50</v>
      </c>
      <c r="G57" s="7">
        <f t="shared" si="1"/>
        <v>7850</v>
      </c>
    </row>
    <row r="58" spans="1:7" x14ac:dyDescent="0.25">
      <c r="A58" s="8">
        <v>44623</v>
      </c>
      <c r="B58" s="9" t="s">
        <v>11</v>
      </c>
      <c r="C58" s="11" t="s">
        <v>18</v>
      </c>
      <c r="D58" s="4" t="s">
        <v>14</v>
      </c>
      <c r="E58" s="6">
        <v>215</v>
      </c>
      <c r="F58" s="6">
        <v>25</v>
      </c>
      <c r="G58" s="7">
        <f t="shared" si="1"/>
        <v>5375</v>
      </c>
    </row>
    <row r="59" spans="1:7" x14ac:dyDescent="0.25">
      <c r="A59" s="8">
        <v>44623</v>
      </c>
      <c r="B59" s="4" t="s">
        <v>11</v>
      </c>
      <c r="C59" s="5" t="s">
        <v>9</v>
      </c>
      <c r="D59" s="4" t="s">
        <v>14</v>
      </c>
      <c r="E59" s="6">
        <v>215</v>
      </c>
      <c r="F59" s="6">
        <v>25</v>
      </c>
      <c r="G59" s="7">
        <f t="shared" si="1"/>
        <v>5375</v>
      </c>
    </row>
    <row r="60" spans="1:7" x14ac:dyDescent="0.25">
      <c r="A60" s="8">
        <v>44628</v>
      </c>
      <c r="B60" s="9" t="s">
        <v>8</v>
      </c>
      <c r="C60" s="5" t="s">
        <v>19</v>
      </c>
      <c r="D60" s="4" t="s">
        <v>14</v>
      </c>
      <c r="E60" s="6">
        <v>220</v>
      </c>
      <c r="F60" s="6">
        <v>25</v>
      </c>
      <c r="G60" s="7">
        <f t="shared" si="1"/>
        <v>5500</v>
      </c>
    </row>
    <row r="61" spans="1:7" x14ac:dyDescent="0.25">
      <c r="A61" s="8">
        <v>44629</v>
      </c>
      <c r="B61" s="9" t="s">
        <v>11</v>
      </c>
      <c r="C61" s="11" t="s">
        <v>17</v>
      </c>
      <c r="D61" s="4" t="s">
        <v>14</v>
      </c>
      <c r="E61" s="6">
        <v>220</v>
      </c>
      <c r="F61" s="6">
        <v>25</v>
      </c>
      <c r="G61" s="7">
        <f t="shared" si="1"/>
        <v>5500</v>
      </c>
    </row>
    <row r="62" spans="1:7" x14ac:dyDescent="0.25">
      <c r="A62" s="8">
        <v>44630</v>
      </c>
      <c r="B62" s="9" t="s">
        <v>8</v>
      </c>
      <c r="C62" s="11" t="s">
        <v>18</v>
      </c>
      <c r="D62" s="9" t="s">
        <v>12</v>
      </c>
      <c r="E62" s="6">
        <v>240</v>
      </c>
      <c r="F62" s="6">
        <v>30</v>
      </c>
      <c r="G62" s="7">
        <f t="shared" si="1"/>
        <v>7200</v>
      </c>
    </row>
    <row r="63" spans="1:7" x14ac:dyDescent="0.25">
      <c r="A63" s="8">
        <v>44631</v>
      </c>
      <c r="B63" s="9" t="s">
        <v>8</v>
      </c>
      <c r="C63" s="11" t="s">
        <v>18</v>
      </c>
      <c r="D63" s="9" t="s">
        <v>12</v>
      </c>
      <c r="E63" s="6">
        <v>240</v>
      </c>
      <c r="F63" s="6">
        <v>30</v>
      </c>
      <c r="G63" s="7">
        <f t="shared" si="1"/>
        <v>7200</v>
      </c>
    </row>
    <row r="64" spans="1:7" x14ac:dyDescent="0.25">
      <c r="A64" s="8">
        <v>44632</v>
      </c>
      <c r="B64" s="9" t="s">
        <v>11</v>
      </c>
      <c r="C64" s="11" t="s">
        <v>18</v>
      </c>
      <c r="D64" s="9" t="s">
        <v>12</v>
      </c>
      <c r="E64" s="6">
        <v>245</v>
      </c>
      <c r="F64" s="6">
        <v>30</v>
      </c>
      <c r="G64" s="7">
        <f t="shared" si="1"/>
        <v>7350</v>
      </c>
    </row>
    <row r="65" spans="1:7" x14ac:dyDescent="0.25">
      <c r="A65" s="8">
        <v>44633</v>
      </c>
      <c r="B65" s="9" t="s">
        <v>11</v>
      </c>
      <c r="C65" s="5" t="s">
        <v>9</v>
      </c>
      <c r="D65" s="9" t="s">
        <v>12</v>
      </c>
      <c r="E65" s="6">
        <v>245</v>
      </c>
      <c r="F65" s="6">
        <v>30</v>
      </c>
      <c r="G65" s="7">
        <f t="shared" si="1"/>
        <v>7350</v>
      </c>
    </row>
    <row r="66" spans="1:7" x14ac:dyDescent="0.25">
      <c r="A66" s="8">
        <v>44634</v>
      </c>
      <c r="B66" s="9" t="s">
        <v>15</v>
      </c>
      <c r="C66" s="11" t="s">
        <v>18</v>
      </c>
      <c r="D66" s="4" t="s">
        <v>16</v>
      </c>
      <c r="E66" s="6">
        <v>261</v>
      </c>
      <c r="F66" s="6">
        <v>30</v>
      </c>
      <c r="G66" s="7">
        <f t="shared" ref="G66:G97" si="2">E66*F66</f>
        <v>7830</v>
      </c>
    </row>
    <row r="67" spans="1:7" x14ac:dyDescent="0.25">
      <c r="A67" s="8">
        <v>44641</v>
      </c>
      <c r="B67" s="9" t="s">
        <v>11</v>
      </c>
      <c r="C67" s="11" t="s">
        <v>18</v>
      </c>
      <c r="D67" s="4" t="s">
        <v>16</v>
      </c>
      <c r="E67" s="6">
        <v>261</v>
      </c>
      <c r="F67" s="6">
        <v>30</v>
      </c>
      <c r="G67" s="7">
        <f t="shared" si="2"/>
        <v>7830</v>
      </c>
    </row>
    <row r="68" spans="1:7" x14ac:dyDescent="0.25">
      <c r="A68" s="8">
        <v>44641</v>
      </c>
      <c r="B68" s="9" t="s">
        <v>11</v>
      </c>
      <c r="C68" s="11" t="s">
        <v>18</v>
      </c>
      <c r="D68" s="4" t="s">
        <v>16</v>
      </c>
      <c r="E68" s="6">
        <v>266</v>
      </c>
      <c r="F68" s="6">
        <v>30</v>
      </c>
      <c r="G68" s="7">
        <f t="shared" si="2"/>
        <v>7980</v>
      </c>
    </row>
    <row r="69" spans="1:7" x14ac:dyDescent="0.25">
      <c r="A69" s="3">
        <v>44650</v>
      </c>
      <c r="B69" s="4" t="s">
        <v>11</v>
      </c>
      <c r="C69" s="11" t="s">
        <v>18</v>
      </c>
      <c r="D69" s="4" t="s">
        <v>16</v>
      </c>
      <c r="E69" s="6">
        <v>266</v>
      </c>
      <c r="F69" s="6">
        <v>30</v>
      </c>
      <c r="G69" s="7">
        <f t="shared" si="2"/>
        <v>7980</v>
      </c>
    </row>
    <row r="70" spans="1:7" x14ac:dyDescent="0.25">
      <c r="A70" s="8">
        <v>44634</v>
      </c>
      <c r="B70" s="9" t="s">
        <v>11</v>
      </c>
      <c r="C70" s="11" t="s">
        <v>17</v>
      </c>
      <c r="D70" s="4" t="s">
        <v>13</v>
      </c>
      <c r="E70" s="6">
        <v>33</v>
      </c>
      <c r="F70" s="6">
        <v>250</v>
      </c>
      <c r="G70" s="7">
        <f t="shared" si="2"/>
        <v>8250</v>
      </c>
    </row>
    <row r="71" spans="1:7" x14ac:dyDescent="0.25">
      <c r="A71" s="8">
        <v>44641</v>
      </c>
      <c r="B71" s="4" t="s">
        <v>8</v>
      </c>
      <c r="C71" s="11" t="s">
        <v>17</v>
      </c>
      <c r="D71" s="4" t="s">
        <v>13</v>
      </c>
      <c r="E71" s="6">
        <v>33</v>
      </c>
      <c r="F71" s="6">
        <v>250</v>
      </c>
      <c r="G71" s="7">
        <f t="shared" si="2"/>
        <v>8250</v>
      </c>
    </row>
    <row r="72" spans="1:7" x14ac:dyDescent="0.25">
      <c r="A72" s="8">
        <v>44641</v>
      </c>
      <c r="B72" s="9" t="s">
        <v>8</v>
      </c>
      <c r="C72" s="11" t="s">
        <v>17</v>
      </c>
      <c r="D72" s="4" t="s">
        <v>13</v>
      </c>
      <c r="E72" s="6">
        <v>38</v>
      </c>
      <c r="F72" s="6">
        <v>250</v>
      </c>
      <c r="G72" s="7">
        <f t="shared" si="2"/>
        <v>9500</v>
      </c>
    </row>
    <row r="73" spans="1:7" x14ac:dyDescent="0.25">
      <c r="A73" s="3">
        <v>44650</v>
      </c>
      <c r="B73" s="9" t="s">
        <v>8</v>
      </c>
      <c r="C73" s="11" t="s">
        <v>18</v>
      </c>
      <c r="D73" s="4" t="s">
        <v>13</v>
      </c>
      <c r="E73" s="6">
        <v>38</v>
      </c>
      <c r="F73" s="6">
        <v>250</v>
      </c>
      <c r="G73" s="7">
        <f t="shared" si="2"/>
        <v>9500</v>
      </c>
    </row>
    <row r="74" spans="1:7" x14ac:dyDescent="0.25">
      <c r="A74" s="8">
        <v>44596</v>
      </c>
      <c r="B74" s="9" t="s">
        <v>11</v>
      </c>
      <c r="C74" s="11" t="s">
        <v>17</v>
      </c>
      <c r="D74" s="4" t="s">
        <v>13</v>
      </c>
      <c r="E74" s="6">
        <v>33</v>
      </c>
      <c r="F74" s="6">
        <v>250</v>
      </c>
      <c r="G74" s="7">
        <f t="shared" si="2"/>
        <v>8250</v>
      </c>
    </row>
    <row r="75" spans="1:7" x14ac:dyDescent="0.25">
      <c r="A75" s="8">
        <v>44641</v>
      </c>
      <c r="B75" s="4" t="s">
        <v>8</v>
      </c>
      <c r="C75" s="11" t="s">
        <v>17</v>
      </c>
      <c r="D75" s="4" t="s">
        <v>13</v>
      </c>
      <c r="E75" s="6">
        <v>33</v>
      </c>
      <c r="F75" s="6">
        <v>250</v>
      </c>
      <c r="G75" s="7">
        <f t="shared" si="2"/>
        <v>8250</v>
      </c>
    </row>
    <row r="76" spans="1:7" x14ac:dyDescent="0.25">
      <c r="A76" s="8">
        <v>44641</v>
      </c>
      <c r="B76" s="9" t="s">
        <v>8</v>
      </c>
      <c r="C76" s="11" t="s">
        <v>17</v>
      </c>
      <c r="D76" s="4" t="s">
        <v>13</v>
      </c>
      <c r="E76" s="6">
        <v>38</v>
      </c>
      <c r="F76" s="6">
        <v>250</v>
      </c>
      <c r="G76" s="7">
        <f t="shared" si="2"/>
        <v>9500</v>
      </c>
    </row>
    <row r="77" spans="1:7" x14ac:dyDescent="0.25">
      <c r="A77" s="8">
        <v>44607</v>
      </c>
      <c r="B77" s="9" t="s">
        <v>8</v>
      </c>
      <c r="C77" s="11" t="s">
        <v>18</v>
      </c>
      <c r="D77" s="4" t="s">
        <v>13</v>
      </c>
      <c r="E77" s="6">
        <v>38</v>
      </c>
      <c r="F77" s="6">
        <v>250</v>
      </c>
      <c r="G77" s="7">
        <f t="shared" si="2"/>
        <v>9500</v>
      </c>
    </row>
    <row r="78" spans="1:7" x14ac:dyDescent="0.25">
      <c r="A78" s="8">
        <v>44641</v>
      </c>
      <c r="B78" s="9" t="s">
        <v>8</v>
      </c>
      <c r="C78" s="5" t="s">
        <v>9</v>
      </c>
      <c r="D78" s="4" t="s">
        <v>10</v>
      </c>
      <c r="E78" s="6">
        <v>7</v>
      </c>
      <c r="F78" s="6">
        <v>450</v>
      </c>
      <c r="G78" s="7">
        <f t="shared" si="2"/>
        <v>3150</v>
      </c>
    </row>
    <row r="79" spans="1:7" x14ac:dyDescent="0.25">
      <c r="A79" s="3">
        <v>44650</v>
      </c>
      <c r="B79" s="9" t="s">
        <v>8</v>
      </c>
      <c r="C79" s="11" t="s">
        <v>17</v>
      </c>
      <c r="D79" s="4" t="s">
        <v>10</v>
      </c>
      <c r="E79" s="6">
        <v>7</v>
      </c>
      <c r="F79" s="6">
        <v>450</v>
      </c>
      <c r="G79" s="7">
        <f t="shared" si="2"/>
        <v>3150</v>
      </c>
    </row>
    <row r="80" spans="1:7" x14ac:dyDescent="0.25">
      <c r="A80" s="8">
        <v>44596</v>
      </c>
      <c r="B80" s="9" t="s">
        <v>15</v>
      </c>
      <c r="C80" s="5" t="s">
        <v>9</v>
      </c>
      <c r="D80" s="4" t="s">
        <v>10</v>
      </c>
      <c r="E80" s="6">
        <v>10</v>
      </c>
      <c r="F80" s="6">
        <v>450</v>
      </c>
      <c r="G80" s="7">
        <f t="shared" si="2"/>
        <v>4500</v>
      </c>
    </row>
    <row r="81" spans="1:7" x14ac:dyDescent="0.25">
      <c r="A81" s="8">
        <v>44597</v>
      </c>
      <c r="B81" s="9" t="s">
        <v>8</v>
      </c>
      <c r="C81" s="11" t="s">
        <v>18</v>
      </c>
      <c r="D81" s="4" t="s">
        <v>10</v>
      </c>
      <c r="E81" s="6">
        <v>10</v>
      </c>
      <c r="F81" s="6">
        <v>450</v>
      </c>
      <c r="G81" s="7">
        <f t="shared" si="2"/>
        <v>4500</v>
      </c>
    </row>
    <row r="82" spans="1:7" x14ac:dyDescent="0.25">
      <c r="A82" s="8">
        <v>44598</v>
      </c>
      <c r="B82" s="9" t="s">
        <v>11</v>
      </c>
      <c r="C82" s="11" t="s">
        <v>17</v>
      </c>
      <c r="D82" s="4" t="s">
        <v>10</v>
      </c>
      <c r="E82" s="6">
        <v>12</v>
      </c>
      <c r="F82" s="6">
        <v>450</v>
      </c>
      <c r="G82" s="7">
        <f t="shared" si="2"/>
        <v>5400</v>
      </c>
    </row>
    <row r="83" spans="1:7" x14ac:dyDescent="0.25">
      <c r="A83" s="8">
        <v>44607</v>
      </c>
      <c r="B83" s="4" t="s">
        <v>8</v>
      </c>
      <c r="C83" s="11" t="s">
        <v>18</v>
      </c>
      <c r="D83" s="4" t="s">
        <v>10</v>
      </c>
      <c r="E83" s="6">
        <v>12</v>
      </c>
      <c r="F83" s="6">
        <v>450</v>
      </c>
      <c r="G83" s="7">
        <f t="shared" si="2"/>
        <v>5400</v>
      </c>
    </row>
    <row r="84" spans="1:7" x14ac:dyDescent="0.25">
      <c r="A84" s="8">
        <v>44594</v>
      </c>
      <c r="B84" s="9" t="s">
        <v>8</v>
      </c>
      <c r="C84" s="5" t="s">
        <v>9</v>
      </c>
      <c r="D84" s="4" t="s">
        <v>10</v>
      </c>
      <c r="E84" s="6">
        <v>7</v>
      </c>
      <c r="F84" s="6">
        <v>450</v>
      </c>
      <c r="G84" s="7">
        <f t="shared" si="2"/>
        <v>3150</v>
      </c>
    </row>
    <row r="85" spans="1:7" x14ac:dyDescent="0.25">
      <c r="A85" s="8">
        <v>44595</v>
      </c>
      <c r="B85" s="9" t="s">
        <v>8</v>
      </c>
      <c r="C85" s="11" t="s">
        <v>17</v>
      </c>
      <c r="D85" s="4" t="s">
        <v>10</v>
      </c>
      <c r="E85" s="6">
        <v>7</v>
      </c>
      <c r="F85" s="6">
        <v>450</v>
      </c>
      <c r="G85" s="7">
        <f t="shared" si="2"/>
        <v>3150</v>
      </c>
    </row>
    <row r="86" spans="1:7" x14ac:dyDescent="0.25">
      <c r="A86" s="8">
        <v>44596</v>
      </c>
      <c r="B86" s="9" t="s">
        <v>15</v>
      </c>
      <c r="C86" s="5" t="s">
        <v>9</v>
      </c>
      <c r="D86" s="4" t="s">
        <v>10</v>
      </c>
      <c r="E86" s="6">
        <v>10</v>
      </c>
      <c r="F86" s="6">
        <v>450</v>
      </c>
      <c r="G86" s="7">
        <f t="shared" si="2"/>
        <v>4500</v>
      </c>
    </row>
    <row r="87" spans="1:7" x14ac:dyDescent="0.25">
      <c r="A87" s="8">
        <v>44597</v>
      </c>
      <c r="B87" s="9" t="s">
        <v>8</v>
      </c>
      <c r="C87" s="11" t="s">
        <v>18</v>
      </c>
      <c r="D87" s="4" t="s">
        <v>10</v>
      </c>
      <c r="E87" s="6">
        <v>10</v>
      </c>
      <c r="F87" s="6">
        <v>450</v>
      </c>
      <c r="G87" s="7">
        <f t="shared" si="2"/>
        <v>4500</v>
      </c>
    </row>
    <row r="88" spans="1:7" x14ac:dyDescent="0.25">
      <c r="A88" s="8">
        <v>44598</v>
      </c>
      <c r="B88" s="9" t="s">
        <v>11</v>
      </c>
      <c r="C88" s="11" t="s">
        <v>17</v>
      </c>
      <c r="D88" s="4" t="s">
        <v>10</v>
      </c>
      <c r="E88" s="6">
        <v>12</v>
      </c>
      <c r="F88" s="6">
        <v>450</v>
      </c>
      <c r="G88" s="7">
        <f t="shared" si="2"/>
        <v>5400</v>
      </c>
    </row>
    <row r="89" spans="1:7" x14ac:dyDescent="0.25">
      <c r="A89" s="3">
        <v>44582</v>
      </c>
      <c r="B89" s="4" t="s">
        <v>8</v>
      </c>
      <c r="C89" s="11" t="s">
        <v>18</v>
      </c>
      <c r="D89" s="4" t="s">
        <v>10</v>
      </c>
      <c r="E89" s="6">
        <v>12</v>
      </c>
      <c r="F89" s="6">
        <v>450</v>
      </c>
      <c r="G89" s="7">
        <f t="shared" si="2"/>
        <v>5400</v>
      </c>
    </row>
  </sheetData>
  <sortState xmlns:xlrd2="http://schemas.microsoft.com/office/spreadsheetml/2017/richdata2" ref="C2:G69">
    <sortCondition ref="E2:E69"/>
  </sortState>
  <pageMargins left="0.25" right="0.25" top="0.75" bottom="0.75" header="0.3" footer="0.3"/>
  <pageSetup paperSize="9" scale="5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EA958-1B03-47BF-8431-821D74512C4B}">
  <dimension ref="A3:E10"/>
  <sheetViews>
    <sheetView showGridLines="0" workbookViewId="0">
      <selection activeCell="G6" sqref="G6"/>
    </sheetView>
  </sheetViews>
  <sheetFormatPr defaultRowHeight="15" x14ac:dyDescent="0.25"/>
  <cols>
    <col min="1" max="1" width="16.28515625" bestFit="1" customWidth="1"/>
    <col min="2" max="4" width="16" customWidth="1"/>
    <col min="5" max="5" width="13.5703125" bestFit="1" customWidth="1"/>
    <col min="6" max="6" width="14.28515625" bestFit="1" customWidth="1"/>
    <col min="7" max="7" width="9" bestFit="1" customWidth="1"/>
    <col min="8" max="8" width="14.28515625" bestFit="1" customWidth="1"/>
    <col min="9" max="9" width="8.28515625" bestFit="1" customWidth="1"/>
    <col min="10" max="10" width="13.5703125" bestFit="1" customWidth="1"/>
    <col min="11" max="11" width="8.28515625" bestFit="1" customWidth="1"/>
    <col min="12" max="12" width="13.5703125" bestFit="1" customWidth="1"/>
    <col min="13" max="13" width="8.28515625" bestFit="1" customWidth="1"/>
    <col min="14" max="14" width="13.5703125" bestFit="1" customWidth="1"/>
    <col min="15" max="15" width="8.28515625" bestFit="1" customWidth="1"/>
    <col min="16" max="16" width="13.5703125" bestFit="1" customWidth="1"/>
    <col min="17" max="17" width="9.28515625" bestFit="1" customWidth="1"/>
    <col min="18" max="18" width="14.5703125" bestFit="1" customWidth="1"/>
    <col min="19" max="19" width="9.28515625" bestFit="1" customWidth="1"/>
    <col min="20" max="20" width="14.5703125" bestFit="1" customWidth="1"/>
    <col min="21" max="21" width="8.5703125" bestFit="1" customWidth="1"/>
    <col min="22" max="22" width="13.85546875" bestFit="1" customWidth="1"/>
    <col min="23" max="23" width="8.5703125" bestFit="1" customWidth="1"/>
    <col min="24" max="24" width="13.85546875" bestFit="1" customWidth="1"/>
    <col min="25" max="25" width="8.5703125" bestFit="1" customWidth="1"/>
    <col min="26" max="26" width="13.85546875" bestFit="1" customWidth="1"/>
    <col min="27" max="27" width="9.28515625" bestFit="1" customWidth="1"/>
    <col min="28" max="28" width="14.5703125" bestFit="1" customWidth="1"/>
    <col min="29" max="29" width="9.28515625" bestFit="1" customWidth="1"/>
    <col min="30" max="30" width="14.5703125" bestFit="1" customWidth="1"/>
    <col min="31" max="31" width="9.28515625" bestFit="1" customWidth="1"/>
    <col min="32" max="32" width="14.5703125" bestFit="1" customWidth="1"/>
    <col min="33" max="33" width="9.28515625" bestFit="1" customWidth="1"/>
    <col min="34" max="34" width="14.5703125" bestFit="1" customWidth="1"/>
    <col min="35" max="35" width="9.28515625" bestFit="1" customWidth="1"/>
    <col min="36" max="36" width="14.5703125" bestFit="1" customWidth="1"/>
    <col min="37" max="37" width="9.28515625" bestFit="1" customWidth="1"/>
    <col min="38" max="38" width="14.5703125" bestFit="1" customWidth="1"/>
    <col min="39" max="39" width="9.28515625" bestFit="1" customWidth="1"/>
    <col min="40" max="40" width="14.5703125" bestFit="1" customWidth="1"/>
    <col min="41" max="41" width="9.28515625" bestFit="1" customWidth="1"/>
    <col min="42" max="42" width="14.5703125" bestFit="1" customWidth="1"/>
    <col min="43" max="43" width="9.28515625" bestFit="1" customWidth="1"/>
    <col min="44" max="44" width="14.5703125" bestFit="1" customWidth="1"/>
    <col min="45" max="45" width="9.28515625" bestFit="1" customWidth="1"/>
    <col min="46" max="46" width="14.5703125" bestFit="1" customWidth="1"/>
    <col min="47" max="47" width="9.28515625" bestFit="1" customWidth="1"/>
    <col min="48" max="48" width="14.5703125" bestFit="1" customWidth="1"/>
    <col min="49" max="49" width="9.28515625" bestFit="1" customWidth="1"/>
    <col min="50" max="50" width="14.5703125" bestFit="1" customWidth="1"/>
    <col min="51" max="51" width="9.28515625" bestFit="1" customWidth="1"/>
    <col min="52" max="52" width="14.5703125" bestFit="1" customWidth="1"/>
    <col min="53" max="53" width="9.28515625" bestFit="1" customWidth="1"/>
    <col min="54" max="54" width="14.5703125" bestFit="1" customWidth="1"/>
    <col min="55" max="55" width="9.28515625" bestFit="1" customWidth="1"/>
    <col min="56" max="56" width="14.5703125" bestFit="1" customWidth="1"/>
    <col min="57" max="57" width="9.28515625" bestFit="1" customWidth="1"/>
    <col min="58" max="58" width="14.5703125" bestFit="1" customWidth="1"/>
    <col min="59" max="59" width="9.28515625" bestFit="1" customWidth="1"/>
    <col min="60" max="60" width="14.5703125" bestFit="1" customWidth="1"/>
    <col min="61" max="61" width="13.5703125" bestFit="1" customWidth="1"/>
  </cols>
  <sheetData>
    <row r="3" spans="1:5" x14ac:dyDescent="0.25">
      <c r="A3" s="19" t="s">
        <v>7</v>
      </c>
      <c r="B3" s="19" t="s">
        <v>24</v>
      </c>
    </row>
    <row r="4" spans="1:5" x14ac:dyDescent="0.25">
      <c r="A4" s="19" t="s">
        <v>20</v>
      </c>
      <c r="B4" t="s">
        <v>22</v>
      </c>
      <c r="C4" t="s">
        <v>25</v>
      </c>
      <c r="D4" t="s">
        <v>23</v>
      </c>
      <c r="E4" t="s">
        <v>21</v>
      </c>
    </row>
    <row r="5" spans="1:5" x14ac:dyDescent="0.25">
      <c r="A5" s="12" t="s">
        <v>13</v>
      </c>
      <c r="B5" s="20">
        <v>23300</v>
      </c>
      <c r="C5" s="20">
        <v>81550</v>
      </c>
      <c r="D5" s="20">
        <v>80100</v>
      </c>
      <c r="E5" s="20">
        <v>184950</v>
      </c>
    </row>
    <row r="6" spans="1:5" x14ac:dyDescent="0.25">
      <c r="A6" s="12" t="s">
        <v>12</v>
      </c>
      <c r="B6" s="20">
        <v>42350</v>
      </c>
      <c r="C6" s="20">
        <v>58550</v>
      </c>
      <c r="D6" s="21">
        <v>29100</v>
      </c>
      <c r="E6" s="20">
        <v>130000</v>
      </c>
    </row>
    <row r="7" spans="1:5" x14ac:dyDescent="0.25">
      <c r="A7" s="12" t="s">
        <v>14</v>
      </c>
      <c r="B7" s="20">
        <v>38550</v>
      </c>
      <c r="C7" s="20">
        <v>15200</v>
      </c>
      <c r="D7" s="20">
        <v>37450</v>
      </c>
      <c r="E7" s="20">
        <v>91200</v>
      </c>
    </row>
    <row r="8" spans="1:5" x14ac:dyDescent="0.25">
      <c r="A8" s="12" t="s">
        <v>16</v>
      </c>
      <c r="B8" s="20">
        <v>19800</v>
      </c>
      <c r="C8" s="20">
        <v>10500</v>
      </c>
      <c r="D8" s="20">
        <v>92420</v>
      </c>
      <c r="E8" s="20">
        <v>122720</v>
      </c>
    </row>
    <row r="9" spans="1:5" x14ac:dyDescent="0.25">
      <c r="A9" s="12" t="s">
        <v>10</v>
      </c>
      <c r="B9" s="20">
        <v>22500</v>
      </c>
      <c r="C9" s="20">
        <v>40500</v>
      </c>
      <c r="D9" s="20">
        <v>6300</v>
      </c>
      <c r="E9" s="20">
        <v>69300</v>
      </c>
    </row>
    <row r="10" spans="1:5" x14ac:dyDescent="0.25">
      <c r="A10" s="12" t="s">
        <v>21</v>
      </c>
      <c r="B10" s="20">
        <v>146500</v>
      </c>
      <c r="C10" s="20">
        <v>206300</v>
      </c>
      <c r="D10" s="20">
        <v>245370</v>
      </c>
      <c r="E10" s="20">
        <v>598170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255BF-E2D5-40B7-951F-930519D8A389}">
  <dimension ref="A1:M10"/>
  <sheetViews>
    <sheetView showGridLines="0" workbookViewId="0">
      <selection activeCell="M2" sqref="M2:M3"/>
    </sheetView>
  </sheetViews>
  <sheetFormatPr defaultRowHeight="15" x14ac:dyDescent="0.25"/>
  <cols>
    <col min="1" max="1" width="16.28515625" bestFit="1" customWidth="1"/>
    <col min="2" max="2" width="15" customWidth="1"/>
    <col min="3" max="4" width="11.140625" customWidth="1"/>
    <col min="5" max="5" width="13.5703125" bestFit="1" customWidth="1"/>
    <col min="6" max="10" width="4.140625" customWidth="1"/>
    <col min="11" max="11" width="10.140625" customWidth="1"/>
    <col min="12" max="12" width="13.5703125" bestFit="1" customWidth="1"/>
    <col min="13" max="13" width="22" customWidth="1"/>
    <col min="14" max="14" width="13.5703125" bestFit="1" customWidth="1"/>
    <col min="15" max="15" width="8.28515625" bestFit="1" customWidth="1"/>
    <col min="16" max="16" width="13.5703125" bestFit="1" customWidth="1"/>
    <col min="17" max="17" width="9.28515625" bestFit="1" customWidth="1"/>
    <col min="18" max="18" width="14.5703125" bestFit="1" customWidth="1"/>
    <col min="19" max="19" width="9.28515625" bestFit="1" customWidth="1"/>
    <col min="20" max="20" width="14.5703125" bestFit="1" customWidth="1"/>
    <col min="21" max="21" width="8.5703125" bestFit="1" customWidth="1"/>
    <col min="22" max="22" width="13.85546875" bestFit="1" customWidth="1"/>
    <col min="23" max="23" width="8.5703125" bestFit="1" customWidth="1"/>
    <col min="24" max="24" width="13.85546875" bestFit="1" customWidth="1"/>
    <col min="25" max="25" width="8.5703125" bestFit="1" customWidth="1"/>
    <col min="26" max="26" width="13.85546875" bestFit="1" customWidth="1"/>
    <col min="27" max="27" width="9.28515625" bestFit="1" customWidth="1"/>
    <col min="28" max="28" width="14.5703125" bestFit="1" customWidth="1"/>
    <col min="29" max="29" width="9.28515625" bestFit="1" customWidth="1"/>
    <col min="30" max="30" width="14.5703125" bestFit="1" customWidth="1"/>
    <col min="31" max="31" width="9.28515625" bestFit="1" customWidth="1"/>
    <col min="32" max="32" width="14.5703125" bestFit="1" customWidth="1"/>
    <col min="33" max="33" width="9.28515625" bestFit="1" customWidth="1"/>
    <col min="34" max="34" width="14.5703125" bestFit="1" customWidth="1"/>
    <col min="35" max="35" width="9.28515625" bestFit="1" customWidth="1"/>
    <col min="36" max="36" width="14.5703125" bestFit="1" customWidth="1"/>
    <col min="37" max="37" width="9.28515625" bestFit="1" customWidth="1"/>
    <col min="38" max="38" width="14.5703125" bestFit="1" customWidth="1"/>
    <col min="39" max="39" width="9.28515625" bestFit="1" customWidth="1"/>
    <col min="40" max="40" width="14.5703125" bestFit="1" customWidth="1"/>
    <col min="41" max="41" width="9.28515625" bestFit="1" customWidth="1"/>
    <col min="42" max="42" width="14.5703125" bestFit="1" customWidth="1"/>
    <col min="43" max="43" width="9.28515625" bestFit="1" customWidth="1"/>
    <col min="44" max="44" width="14.5703125" bestFit="1" customWidth="1"/>
    <col min="45" max="45" width="9.28515625" bestFit="1" customWidth="1"/>
    <col min="46" max="46" width="14.5703125" bestFit="1" customWidth="1"/>
    <col min="47" max="47" width="9.28515625" bestFit="1" customWidth="1"/>
    <col min="48" max="48" width="14.5703125" bestFit="1" customWidth="1"/>
    <col min="49" max="49" width="9.28515625" bestFit="1" customWidth="1"/>
    <col min="50" max="50" width="14.5703125" bestFit="1" customWidth="1"/>
    <col min="51" max="51" width="9.28515625" bestFit="1" customWidth="1"/>
    <col min="52" max="52" width="14.5703125" bestFit="1" customWidth="1"/>
    <col min="53" max="53" width="9.28515625" bestFit="1" customWidth="1"/>
    <col min="54" max="54" width="14.5703125" bestFit="1" customWidth="1"/>
    <col min="55" max="55" width="9.28515625" bestFit="1" customWidth="1"/>
    <col min="56" max="56" width="14.5703125" bestFit="1" customWidth="1"/>
    <col min="57" max="57" width="9.28515625" bestFit="1" customWidth="1"/>
    <col min="58" max="58" width="14.5703125" bestFit="1" customWidth="1"/>
    <col min="59" max="59" width="9.28515625" bestFit="1" customWidth="1"/>
    <col min="60" max="60" width="14.5703125" bestFit="1" customWidth="1"/>
    <col min="61" max="61" width="13.5703125" bestFit="1" customWidth="1"/>
  </cols>
  <sheetData>
    <row r="1" spans="1:13" x14ac:dyDescent="0.25">
      <c r="K1" s="24"/>
      <c r="L1" s="25"/>
      <c r="M1" s="26" t="s">
        <v>7</v>
      </c>
    </row>
    <row r="2" spans="1:13" x14ac:dyDescent="0.25">
      <c r="K2" s="27" t="s">
        <v>3</v>
      </c>
      <c r="L2" s="23" t="s">
        <v>12</v>
      </c>
      <c r="M2" s="29"/>
    </row>
    <row r="3" spans="1:13" x14ac:dyDescent="0.25">
      <c r="A3" t="s">
        <v>7</v>
      </c>
      <c r="B3" t="s">
        <v>24</v>
      </c>
      <c r="K3" s="28" t="s">
        <v>26</v>
      </c>
      <c r="L3" s="22" t="s">
        <v>27</v>
      </c>
      <c r="M3" s="30"/>
    </row>
    <row r="4" spans="1:13" x14ac:dyDescent="0.25">
      <c r="A4" t="s">
        <v>20</v>
      </c>
      <c r="B4" t="s">
        <v>22</v>
      </c>
      <c r="C4" t="s">
        <v>25</v>
      </c>
      <c r="D4" t="s">
        <v>23</v>
      </c>
      <c r="E4" t="s">
        <v>21</v>
      </c>
    </row>
    <row r="5" spans="1:13" x14ac:dyDescent="0.25">
      <c r="A5" s="12" t="s">
        <v>13</v>
      </c>
      <c r="B5" s="20">
        <v>23300</v>
      </c>
      <c r="C5" s="20">
        <v>81550</v>
      </c>
      <c r="D5" s="20">
        <v>80100</v>
      </c>
      <c r="E5" s="20">
        <v>184950</v>
      </c>
    </row>
    <row r="6" spans="1:13" x14ac:dyDescent="0.25">
      <c r="A6" s="12" t="s">
        <v>12</v>
      </c>
      <c r="B6" s="20">
        <v>42350</v>
      </c>
      <c r="C6" s="20">
        <v>58550</v>
      </c>
      <c r="D6" s="21">
        <v>29100</v>
      </c>
      <c r="E6" s="20">
        <v>130000</v>
      </c>
    </row>
    <row r="7" spans="1:13" x14ac:dyDescent="0.25">
      <c r="A7" s="12" t="s">
        <v>14</v>
      </c>
      <c r="B7" s="20">
        <v>38550</v>
      </c>
      <c r="C7" s="20">
        <v>15200</v>
      </c>
      <c r="D7" s="20">
        <v>37450</v>
      </c>
      <c r="E7" s="20">
        <v>91200</v>
      </c>
    </row>
    <row r="8" spans="1:13" x14ac:dyDescent="0.25">
      <c r="A8" s="12" t="s">
        <v>16</v>
      </c>
      <c r="B8" s="20">
        <v>19800</v>
      </c>
      <c r="C8" s="20">
        <v>10500</v>
      </c>
      <c r="D8" s="20">
        <v>92420</v>
      </c>
      <c r="E8" s="20">
        <v>122720</v>
      </c>
      <c r="M8" s="13" t="s">
        <v>30</v>
      </c>
    </row>
    <row r="9" spans="1:13" x14ac:dyDescent="0.25">
      <c r="A9" s="12" t="s">
        <v>10</v>
      </c>
      <c r="B9" s="20">
        <v>22500</v>
      </c>
      <c r="C9" s="20">
        <v>40500</v>
      </c>
      <c r="D9" s="20">
        <v>6300</v>
      </c>
      <c r="E9" s="20">
        <v>69300</v>
      </c>
    </row>
    <row r="10" spans="1:13" x14ac:dyDescent="0.25">
      <c r="A10" s="12" t="s">
        <v>21</v>
      </c>
      <c r="B10" s="20">
        <v>146500</v>
      </c>
      <c r="C10" s="20">
        <v>206300</v>
      </c>
      <c r="D10" s="20">
        <v>245370</v>
      </c>
      <c r="E10" s="20">
        <v>598170</v>
      </c>
    </row>
  </sheetData>
  <mergeCells count="1">
    <mergeCell ref="M2:M3"/>
  </mergeCells>
  <pageMargins left="0.7" right="0.7" top="0.75" bottom="0.75" header="0.3" footer="0.3"/>
  <pageSetup paperSize="9" orientation="portrait" verticalDpi="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2BAF717-7F3D-4857-99EB-048641B87331}">
          <x14:formula1>
            <xm:f>Sayfa5!$B$2:$B$6</xm:f>
          </x14:formula1>
          <xm:sqref>L2</xm:sqref>
        </x14:dataValidation>
        <x14:dataValidation type="list" allowBlank="1" showInputMessage="1" showErrorMessage="1" xr:uid="{6446CD32-B9C2-4813-A406-A6BB82D9C848}">
          <x14:formula1>
            <xm:f>Sayfa5!$E$1:$E$3</xm:f>
          </x14:formula1>
          <xm:sqref>L3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54DB6-7425-49D0-A9D7-30AFBDE7375D}">
  <dimension ref="A1:M28"/>
  <sheetViews>
    <sheetView showGridLines="0" workbookViewId="0">
      <selection activeCell="K1" sqref="K1"/>
    </sheetView>
  </sheetViews>
  <sheetFormatPr defaultRowHeight="15" x14ac:dyDescent="0.25"/>
  <cols>
    <col min="1" max="1" width="16.28515625" bestFit="1" customWidth="1"/>
    <col min="2" max="2" width="15" customWidth="1"/>
    <col min="3" max="3" width="12.28515625" bestFit="1" customWidth="1"/>
    <col min="4" max="4" width="11.140625" customWidth="1"/>
    <col min="5" max="8" width="13.42578125" customWidth="1"/>
    <col min="9" max="9" width="4.140625" customWidth="1"/>
    <col min="10" max="10" width="5" customWidth="1"/>
    <col min="11" max="11" width="10.140625" customWidth="1"/>
    <col min="12" max="12" width="15" customWidth="1"/>
    <col min="13" max="13" width="22" customWidth="1"/>
    <col min="14" max="14" width="13.5703125" bestFit="1" customWidth="1"/>
    <col min="15" max="15" width="8.28515625" bestFit="1" customWidth="1"/>
    <col min="16" max="16" width="13.5703125" bestFit="1" customWidth="1"/>
    <col min="17" max="17" width="9.28515625" bestFit="1" customWidth="1"/>
    <col min="18" max="18" width="14.5703125" bestFit="1" customWidth="1"/>
    <col min="19" max="19" width="9.28515625" bestFit="1" customWidth="1"/>
    <col min="20" max="20" width="14.5703125" bestFit="1" customWidth="1"/>
    <col min="21" max="21" width="8.5703125" bestFit="1" customWidth="1"/>
    <col min="22" max="22" width="13.85546875" bestFit="1" customWidth="1"/>
    <col min="23" max="23" width="8.5703125" bestFit="1" customWidth="1"/>
    <col min="24" max="24" width="13.85546875" bestFit="1" customWidth="1"/>
    <col min="25" max="25" width="8.5703125" bestFit="1" customWidth="1"/>
    <col min="26" max="26" width="13.85546875" bestFit="1" customWidth="1"/>
    <col min="27" max="27" width="9.28515625" bestFit="1" customWidth="1"/>
    <col min="28" max="28" width="14.5703125" bestFit="1" customWidth="1"/>
    <col min="29" max="29" width="9.28515625" bestFit="1" customWidth="1"/>
    <col min="30" max="30" width="14.5703125" bestFit="1" customWidth="1"/>
    <col min="31" max="31" width="9.28515625" bestFit="1" customWidth="1"/>
    <col min="32" max="32" width="14.5703125" bestFit="1" customWidth="1"/>
    <col min="33" max="33" width="9.28515625" bestFit="1" customWidth="1"/>
    <col min="34" max="34" width="14.5703125" bestFit="1" customWidth="1"/>
    <col min="35" max="35" width="9.28515625" bestFit="1" customWidth="1"/>
    <col min="36" max="36" width="14.5703125" bestFit="1" customWidth="1"/>
    <col min="37" max="37" width="9.28515625" bestFit="1" customWidth="1"/>
    <col min="38" max="38" width="14.5703125" bestFit="1" customWidth="1"/>
    <col min="39" max="39" width="9.28515625" bestFit="1" customWidth="1"/>
    <col min="40" max="40" width="14.5703125" bestFit="1" customWidth="1"/>
    <col min="41" max="41" width="9.28515625" bestFit="1" customWidth="1"/>
    <col min="42" max="42" width="14.5703125" bestFit="1" customWidth="1"/>
    <col min="43" max="43" width="9.28515625" bestFit="1" customWidth="1"/>
    <col min="44" max="44" width="14.5703125" bestFit="1" customWidth="1"/>
    <col min="45" max="45" width="9.28515625" bestFit="1" customWidth="1"/>
    <col min="46" max="46" width="14.5703125" bestFit="1" customWidth="1"/>
    <col min="47" max="47" width="9.28515625" bestFit="1" customWidth="1"/>
    <col min="48" max="48" width="14.5703125" bestFit="1" customWidth="1"/>
    <col min="49" max="49" width="9.28515625" bestFit="1" customWidth="1"/>
    <col min="50" max="50" width="14.5703125" bestFit="1" customWidth="1"/>
    <col min="51" max="51" width="9.28515625" bestFit="1" customWidth="1"/>
    <col min="52" max="52" width="14.5703125" bestFit="1" customWidth="1"/>
    <col min="53" max="53" width="9.28515625" bestFit="1" customWidth="1"/>
    <col min="54" max="54" width="14.5703125" bestFit="1" customWidth="1"/>
    <col min="55" max="55" width="9.28515625" bestFit="1" customWidth="1"/>
    <col min="56" max="56" width="14.5703125" bestFit="1" customWidth="1"/>
    <col min="57" max="57" width="9.28515625" bestFit="1" customWidth="1"/>
    <col min="58" max="58" width="14.5703125" bestFit="1" customWidth="1"/>
    <col min="59" max="59" width="9.28515625" bestFit="1" customWidth="1"/>
    <col min="60" max="60" width="14.5703125" bestFit="1" customWidth="1"/>
    <col min="61" max="61" width="13.5703125" bestFit="1" customWidth="1"/>
  </cols>
  <sheetData>
    <row r="1" spans="1:13" ht="18" customHeight="1" x14ac:dyDescent="0.3">
      <c r="K1" s="38" t="s">
        <v>6</v>
      </c>
      <c r="L1" s="25"/>
      <c r="M1" s="37" t="str">
        <f>"Toplam "&amp; K1</f>
        <v>Toplam Tutar</v>
      </c>
    </row>
    <row r="2" spans="1:13" ht="18" customHeight="1" x14ac:dyDescent="0.25">
      <c r="K2" s="28" t="s">
        <v>3</v>
      </c>
      <c r="L2" s="22" t="s">
        <v>12</v>
      </c>
      <c r="M2" s="30">
        <f>GETPIVOTDATA("Toplam "&amp;K1,$A$3,"Şehir",L4,"Ürünler",L2,"Ay",MATCH(L3,Sayfa5!E1:E3,0))</f>
        <v>22950</v>
      </c>
    </row>
    <row r="3" spans="1:13" ht="18" customHeight="1" x14ac:dyDescent="0.25">
      <c r="B3" s="19" t="s">
        <v>24</v>
      </c>
      <c r="K3" s="28" t="s">
        <v>26</v>
      </c>
      <c r="L3" s="22" t="s">
        <v>27</v>
      </c>
      <c r="M3" s="30"/>
    </row>
    <row r="4" spans="1:13" x14ac:dyDescent="0.25">
      <c r="B4" t="s">
        <v>7</v>
      </c>
      <c r="E4" t="s">
        <v>31</v>
      </c>
      <c r="K4" s="28" t="s">
        <v>2</v>
      </c>
      <c r="L4" s="36" t="s">
        <v>17</v>
      </c>
      <c r="M4" s="30"/>
    </row>
    <row r="5" spans="1:13" x14ac:dyDescent="0.25">
      <c r="A5" s="19" t="s">
        <v>20</v>
      </c>
      <c r="B5" t="s">
        <v>22</v>
      </c>
      <c r="C5" t="s">
        <v>25</v>
      </c>
      <c r="D5" t="s">
        <v>23</v>
      </c>
      <c r="E5" t="s">
        <v>22</v>
      </c>
      <c r="F5" t="s">
        <v>25</v>
      </c>
      <c r="G5" t="s">
        <v>23</v>
      </c>
    </row>
    <row r="6" spans="1:13" x14ac:dyDescent="0.25">
      <c r="A6" s="12" t="s">
        <v>9</v>
      </c>
      <c r="B6" s="20">
        <v>45100</v>
      </c>
      <c r="C6" s="20">
        <v>17400</v>
      </c>
      <c r="D6" s="20">
        <v>35700</v>
      </c>
      <c r="E6" s="31">
        <v>547</v>
      </c>
      <c r="F6" s="31">
        <v>97</v>
      </c>
      <c r="G6" s="31">
        <v>766</v>
      </c>
      <c r="I6" s="31"/>
    </row>
    <row r="7" spans="1:13" x14ac:dyDescent="0.25">
      <c r="A7" s="35" t="s">
        <v>13</v>
      </c>
      <c r="B7" s="20">
        <v>5700</v>
      </c>
      <c r="C7" s="20"/>
      <c r="D7" s="33"/>
      <c r="E7" s="31">
        <v>114</v>
      </c>
      <c r="F7" s="31"/>
      <c r="G7" s="34"/>
      <c r="I7" s="31"/>
    </row>
    <row r="8" spans="1:13" x14ac:dyDescent="0.25">
      <c r="A8" s="35" t="s">
        <v>12</v>
      </c>
      <c r="B8" s="20">
        <v>16900</v>
      </c>
      <c r="C8" s="20"/>
      <c r="D8" s="21">
        <v>7350</v>
      </c>
      <c r="E8" s="31">
        <v>168</v>
      </c>
      <c r="F8" s="31"/>
      <c r="G8" s="32">
        <v>245</v>
      </c>
      <c r="I8" s="31"/>
      <c r="M8" s="13"/>
    </row>
    <row r="9" spans="1:13" x14ac:dyDescent="0.25">
      <c r="A9" s="35" t="s">
        <v>14</v>
      </c>
      <c r="B9" s="20">
        <v>9450</v>
      </c>
      <c r="C9" s="20"/>
      <c r="D9" s="20">
        <v>5375</v>
      </c>
      <c r="E9" s="31">
        <v>126</v>
      </c>
      <c r="F9" s="31"/>
      <c r="G9" s="31">
        <v>215</v>
      </c>
      <c r="I9" s="31"/>
    </row>
    <row r="10" spans="1:13" x14ac:dyDescent="0.25">
      <c r="A10" s="35" t="s">
        <v>16</v>
      </c>
      <c r="B10" s="20">
        <v>9900</v>
      </c>
      <c r="C10" s="20">
        <v>5250</v>
      </c>
      <c r="D10" s="20">
        <v>19825</v>
      </c>
      <c r="E10" s="31">
        <v>132</v>
      </c>
      <c r="F10" s="31">
        <v>70</v>
      </c>
      <c r="G10" s="31">
        <v>299</v>
      </c>
      <c r="I10" s="31"/>
    </row>
    <row r="11" spans="1:13" x14ac:dyDescent="0.25">
      <c r="A11" s="35" t="s">
        <v>10</v>
      </c>
      <c r="B11" s="20">
        <v>3150</v>
      </c>
      <c r="C11" s="20">
        <v>12150</v>
      </c>
      <c r="D11" s="20">
        <v>3150</v>
      </c>
      <c r="E11" s="31">
        <v>7</v>
      </c>
      <c r="F11" s="31">
        <v>27</v>
      </c>
      <c r="G11" s="31">
        <v>7</v>
      </c>
      <c r="I11" s="31"/>
    </row>
    <row r="12" spans="1:13" x14ac:dyDescent="0.25">
      <c r="A12" s="12" t="s">
        <v>17</v>
      </c>
      <c r="B12" s="20">
        <v>53425</v>
      </c>
      <c r="C12" s="20">
        <v>94300</v>
      </c>
      <c r="D12" s="20">
        <v>90775</v>
      </c>
      <c r="E12" s="31">
        <v>440</v>
      </c>
      <c r="F12" s="31">
        <v>932</v>
      </c>
      <c r="G12" s="31">
        <v>999</v>
      </c>
      <c r="I12" s="31"/>
    </row>
    <row r="13" spans="1:13" x14ac:dyDescent="0.25">
      <c r="A13" s="35" t="s">
        <v>13</v>
      </c>
      <c r="B13" s="20">
        <v>11650</v>
      </c>
      <c r="C13" s="20">
        <v>55350</v>
      </c>
      <c r="D13" s="33">
        <v>63700</v>
      </c>
      <c r="E13" s="31">
        <v>233</v>
      </c>
      <c r="F13" s="31">
        <v>559</v>
      </c>
      <c r="G13" s="34">
        <v>441</v>
      </c>
      <c r="I13" s="31"/>
    </row>
    <row r="14" spans="1:13" x14ac:dyDescent="0.25">
      <c r="A14" s="35" t="s">
        <v>12</v>
      </c>
      <c r="B14" s="20">
        <v>22950</v>
      </c>
      <c r="C14" s="20">
        <v>25000</v>
      </c>
      <c r="D14" s="21"/>
      <c r="E14" s="31">
        <v>51</v>
      </c>
      <c r="F14" s="31">
        <v>342</v>
      </c>
      <c r="G14" s="32"/>
      <c r="I14" s="31"/>
    </row>
    <row r="15" spans="1:13" x14ac:dyDescent="0.25">
      <c r="A15" s="35" t="s">
        <v>14</v>
      </c>
      <c r="B15" s="20">
        <v>9825</v>
      </c>
      <c r="C15" s="20"/>
      <c r="D15" s="20">
        <v>13350</v>
      </c>
      <c r="E15" s="31">
        <v>131</v>
      </c>
      <c r="F15" s="31"/>
      <c r="G15" s="31">
        <v>377</v>
      </c>
      <c r="I15" s="31"/>
    </row>
    <row r="16" spans="1:13" x14ac:dyDescent="0.25">
      <c r="A16" s="35" t="s">
        <v>16</v>
      </c>
      <c r="B16" s="20">
        <v>450</v>
      </c>
      <c r="C16" s="20"/>
      <c r="D16" s="20">
        <v>10575</v>
      </c>
      <c r="E16" s="31">
        <v>6</v>
      </c>
      <c r="F16" s="31"/>
      <c r="G16" s="31">
        <v>174</v>
      </c>
      <c r="I16" s="31"/>
    </row>
    <row r="17" spans="1:9" x14ac:dyDescent="0.25">
      <c r="A17" s="35" t="s">
        <v>10</v>
      </c>
      <c r="B17" s="20">
        <v>8550</v>
      </c>
      <c r="C17" s="20">
        <v>13950</v>
      </c>
      <c r="D17" s="20">
        <v>3150</v>
      </c>
      <c r="E17" s="31">
        <v>19</v>
      </c>
      <c r="F17" s="31">
        <v>31</v>
      </c>
      <c r="G17" s="31">
        <v>7</v>
      </c>
      <c r="I17" s="31"/>
    </row>
    <row r="18" spans="1:9" x14ac:dyDescent="0.25">
      <c r="A18" s="12" t="s">
        <v>18</v>
      </c>
      <c r="B18" s="20">
        <v>47975</v>
      </c>
      <c r="C18" s="20">
        <v>61050</v>
      </c>
      <c r="D18" s="20">
        <v>99920</v>
      </c>
      <c r="E18" s="31">
        <v>536</v>
      </c>
      <c r="F18" s="31">
        <v>626</v>
      </c>
      <c r="G18" s="31">
        <v>2522</v>
      </c>
      <c r="I18" s="31"/>
    </row>
    <row r="19" spans="1:9" x14ac:dyDescent="0.25">
      <c r="A19" s="35" t="s">
        <v>13</v>
      </c>
      <c r="B19" s="20">
        <v>5950</v>
      </c>
      <c r="C19" s="20">
        <v>26200</v>
      </c>
      <c r="D19" s="33">
        <v>16400</v>
      </c>
      <c r="E19" s="31">
        <v>119</v>
      </c>
      <c r="F19" s="31">
        <v>220</v>
      </c>
      <c r="G19" s="34">
        <v>130</v>
      </c>
      <c r="I19" s="31"/>
    </row>
    <row r="20" spans="1:9" x14ac:dyDescent="0.25">
      <c r="A20" s="35" t="s">
        <v>12</v>
      </c>
      <c r="B20" s="20">
        <v>2500</v>
      </c>
      <c r="C20" s="20"/>
      <c r="D20" s="21">
        <v>21750</v>
      </c>
      <c r="E20" s="31">
        <v>10</v>
      </c>
      <c r="F20" s="31"/>
      <c r="G20" s="32">
        <v>725</v>
      </c>
      <c r="I20" s="31"/>
    </row>
    <row r="21" spans="1:9" x14ac:dyDescent="0.25">
      <c r="A21" s="35" t="s">
        <v>14</v>
      </c>
      <c r="B21" s="20">
        <v>19275</v>
      </c>
      <c r="C21" s="20">
        <v>15200</v>
      </c>
      <c r="D21" s="20">
        <v>5375</v>
      </c>
      <c r="E21" s="31">
        <v>257</v>
      </c>
      <c r="F21" s="31">
        <v>304</v>
      </c>
      <c r="G21" s="31">
        <v>215</v>
      </c>
      <c r="I21" s="31"/>
    </row>
    <row r="22" spans="1:9" x14ac:dyDescent="0.25">
      <c r="A22" s="35" t="s">
        <v>16</v>
      </c>
      <c r="B22" s="20">
        <v>9450</v>
      </c>
      <c r="C22" s="20">
        <v>5250</v>
      </c>
      <c r="D22" s="20">
        <v>56395</v>
      </c>
      <c r="E22" s="31">
        <v>126</v>
      </c>
      <c r="F22" s="31">
        <v>70</v>
      </c>
      <c r="G22" s="31">
        <v>1452</v>
      </c>
      <c r="I22" s="31"/>
    </row>
    <row r="23" spans="1:9" x14ac:dyDescent="0.25">
      <c r="A23" s="35" t="s">
        <v>10</v>
      </c>
      <c r="B23" s="20">
        <v>10800</v>
      </c>
      <c r="C23" s="20">
        <v>14400</v>
      </c>
      <c r="D23" s="20"/>
      <c r="E23" s="31">
        <v>24</v>
      </c>
      <c r="F23" s="31">
        <v>32</v>
      </c>
      <c r="G23" s="31"/>
      <c r="I23" s="31"/>
    </row>
    <row r="24" spans="1:9" x14ac:dyDescent="0.25">
      <c r="A24" s="12" t="s">
        <v>19</v>
      </c>
      <c r="B24" s="20"/>
      <c r="C24" s="20">
        <v>33550</v>
      </c>
      <c r="D24" s="20">
        <v>18975</v>
      </c>
      <c r="E24" s="31"/>
      <c r="F24" s="31">
        <v>235</v>
      </c>
      <c r="G24" s="31">
        <v>452</v>
      </c>
      <c r="I24" s="31"/>
    </row>
    <row r="25" spans="1:9" x14ac:dyDescent="0.25">
      <c r="A25" s="35" t="s">
        <v>12</v>
      </c>
      <c r="B25" s="20"/>
      <c r="C25" s="20">
        <v>33550</v>
      </c>
      <c r="D25" s="21"/>
      <c r="E25" s="31"/>
      <c r="F25" s="31">
        <v>235</v>
      </c>
      <c r="G25" s="32"/>
      <c r="I25" s="31"/>
    </row>
    <row r="26" spans="1:9" x14ac:dyDescent="0.25">
      <c r="A26" s="35" t="s">
        <v>14</v>
      </c>
      <c r="B26" s="20"/>
      <c r="C26" s="20"/>
      <c r="D26" s="20">
        <v>13350</v>
      </c>
      <c r="E26" s="31"/>
      <c r="F26" s="31"/>
      <c r="G26" s="31">
        <v>377</v>
      </c>
      <c r="I26" s="31"/>
    </row>
    <row r="27" spans="1:9" x14ac:dyDescent="0.25">
      <c r="A27" s="35" t="s">
        <v>16</v>
      </c>
      <c r="B27" s="20"/>
      <c r="C27" s="20"/>
      <c r="D27" s="20">
        <v>5625</v>
      </c>
      <c r="E27" s="31"/>
      <c r="F27" s="31"/>
      <c r="G27" s="31">
        <v>75</v>
      </c>
      <c r="I27" s="31"/>
    </row>
    <row r="28" spans="1:9" x14ac:dyDescent="0.25">
      <c r="I28" s="31"/>
    </row>
  </sheetData>
  <mergeCells count="1">
    <mergeCell ref="M2:M4"/>
  </mergeCells>
  <dataValidations count="1">
    <dataValidation type="list" allowBlank="1" showInputMessage="1" showErrorMessage="1" sqref="K1" xr:uid="{317B4FEE-4449-4C2A-844A-C726BD6755F9}">
      <formula1>"Adet,Tutar"</formula1>
    </dataValidation>
  </dataValidations>
  <pageMargins left="0.7" right="0.7" top="0.75" bottom="0.75" header="0.3" footer="0.3"/>
  <pageSetup paperSize="9" orientation="portrait" verticalDpi="0"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A1B6254-9C52-4D77-B52F-5CD037CDCEC1}">
          <x14:formula1>
            <xm:f>Sayfa5!$E$1:$E$3</xm:f>
          </x14:formula1>
          <xm:sqref>L3</xm:sqref>
        </x14:dataValidation>
        <x14:dataValidation type="list" allowBlank="1" showInputMessage="1" showErrorMessage="1" xr:uid="{91DAD891-150B-4401-83A5-20A583CE0E7C}">
          <x14:formula1>
            <xm:f>Sayfa5!$B$2:$B$6</xm:f>
          </x14:formula1>
          <xm:sqref>L2</xm:sqref>
        </x14:dataValidation>
        <x14:dataValidation type="list" allowBlank="1" showInputMessage="1" showErrorMessage="1" xr:uid="{9AC039DB-ADC8-4E89-AF94-35ED945F15CA}">
          <x14:formula1>
            <xm:f>Sayfa5!$H$2:$H$5</xm:f>
          </x14:formula1>
          <xm:sqref>L4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F7CD6-C708-40E3-9F52-FC223B19E544}">
  <dimension ref="B1:H89"/>
  <sheetViews>
    <sheetView showGridLines="0" workbookViewId="0">
      <selection activeCell="D8" sqref="D8"/>
    </sheetView>
  </sheetViews>
  <sheetFormatPr defaultRowHeight="15" x14ac:dyDescent="0.25"/>
  <cols>
    <col min="2" max="2" width="12.42578125" bestFit="1" customWidth="1"/>
    <col min="8" max="8" width="17.140625" style="17" customWidth="1"/>
  </cols>
  <sheetData>
    <row r="1" spans="2:8" ht="15.75" x14ac:dyDescent="0.25">
      <c r="B1" s="1" t="s">
        <v>3</v>
      </c>
      <c r="E1" s="1" t="s">
        <v>27</v>
      </c>
      <c r="H1" s="1" t="s">
        <v>2</v>
      </c>
    </row>
    <row r="2" spans="2:8" x14ac:dyDescent="0.25">
      <c r="B2" s="9" t="s">
        <v>13</v>
      </c>
      <c r="E2" s="36" t="s">
        <v>28</v>
      </c>
      <c r="H2" s="11" t="s">
        <v>9</v>
      </c>
    </row>
    <row r="3" spans="2:8" x14ac:dyDescent="0.25">
      <c r="B3" s="9" t="s">
        <v>12</v>
      </c>
      <c r="E3" s="36" t="s">
        <v>29</v>
      </c>
      <c r="H3" s="11" t="s">
        <v>17</v>
      </c>
    </row>
    <row r="4" spans="2:8" x14ac:dyDescent="0.25">
      <c r="B4" s="9" t="s">
        <v>14</v>
      </c>
      <c r="H4" s="11" t="s">
        <v>18</v>
      </c>
    </row>
    <row r="5" spans="2:8" x14ac:dyDescent="0.25">
      <c r="B5" s="9" t="s">
        <v>16</v>
      </c>
      <c r="H5" s="11" t="s">
        <v>19</v>
      </c>
    </row>
    <row r="6" spans="2:8" x14ac:dyDescent="0.25">
      <c r="B6" s="9" t="s">
        <v>10</v>
      </c>
      <c r="H6"/>
    </row>
    <row r="7" spans="2:8" x14ac:dyDescent="0.25">
      <c r="H7"/>
    </row>
    <row r="8" spans="2:8" x14ac:dyDescent="0.25">
      <c r="H8"/>
    </row>
    <row r="9" spans="2:8" x14ac:dyDescent="0.25">
      <c r="H9"/>
    </row>
    <row r="10" spans="2:8" x14ac:dyDescent="0.25">
      <c r="H10"/>
    </row>
    <row r="11" spans="2:8" x14ac:dyDescent="0.25">
      <c r="H11"/>
    </row>
    <row r="12" spans="2:8" x14ac:dyDescent="0.25">
      <c r="H12"/>
    </row>
    <row r="13" spans="2:8" x14ac:dyDescent="0.25">
      <c r="H13"/>
    </row>
    <row r="14" spans="2:8" x14ac:dyDescent="0.25">
      <c r="H14"/>
    </row>
    <row r="15" spans="2:8" x14ac:dyDescent="0.25">
      <c r="H15"/>
    </row>
    <row r="16" spans="2:8" x14ac:dyDescent="0.25">
      <c r="H16"/>
    </row>
    <row r="17" spans="8:8" x14ac:dyDescent="0.25">
      <c r="H17"/>
    </row>
    <row r="18" spans="8:8" x14ac:dyDescent="0.25">
      <c r="H18"/>
    </row>
    <row r="19" spans="8:8" x14ac:dyDescent="0.25">
      <c r="H19"/>
    </row>
    <row r="20" spans="8:8" x14ac:dyDescent="0.25">
      <c r="H20"/>
    </row>
    <row r="21" spans="8:8" x14ac:dyDescent="0.25">
      <c r="H21"/>
    </row>
    <row r="22" spans="8:8" x14ac:dyDescent="0.25">
      <c r="H22"/>
    </row>
    <row r="23" spans="8:8" x14ac:dyDescent="0.25">
      <c r="H23"/>
    </row>
    <row r="24" spans="8:8" x14ac:dyDescent="0.25">
      <c r="H24"/>
    </row>
    <row r="25" spans="8:8" x14ac:dyDescent="0.25">
      <c r="H25"/>
    </row>
    <row r="26" spans="8:8" x14ac:dyDescent="0.25">
      <c r="H26"/>
    </row>
    <row r="27" spans="8:8" x14ac:dyDescent="0.25">
      <c r="H27"/>
    </row>
    <row r="28" spans="8:8" x14ac:dyDescent="0.25">
      <c r="H28"/>
    </row>
    <row r="29" spans="8:8" x14ac:dyDescent="0.25">
      <c r="H29"/>
    </row>
    <row r="30" spans="8:8" x14ac:dyDescent="0.25">
      <c r="H30"/>
    </row>
    <row r="31" spans="8:8" x14ac:dyDescent="0.25">
      <c r="H31"/>
    </row>
    <row r="32" spans="8:8" x14ac:dyDescent="0.25">
      <c r="H32"/>
    </row>
    <row r="33" spans="8:8" x14ac:dyDescent="0.25">
      <c r="H33"/>
    </row>
    <row r="34" spans="8:8" x14ac:dyDescent="0.25">
      <c r="H34"/>
    </row>
    <row r="35" spans="8:8" x14ac:dyDescent="0.25">
      <c r="H35"/>
    </row>
    <row r="36" spans="8:8" x14ac:dyDescent="0.25">
      <c r="H36"/>
    </row>
    <row r="37" spans="8:8" x14ac:dyDescent="0.25">
      <c r="H37"/>
    </row>
    <row r="38" spans="8:8" x14ac:dyDescent="0.25">
      <c r="H38"/>
    </row>
    <row r="39" spans="8:8" x14ac:dyDescent="0.25">
      <c r="H39"/>
    </row>
    <row r="40" spans="8:8" x14ac:dyDescent="0.25">
      <c r="H40"/>
    </row>
    <row r="41" spans="8:8" x14ac:dyDescent="0.25">
      <c r="H41"/>
    </row>
    <row r="42" spans="8:8" x14ac:dyDescent="0.25">
      <c r="H42"/>
    </row>
    <row r="43" spans="8:8" x14ac:dyDescent="0.25">
      <c r="H43"/>
    </row>
    <row r="44" spans="8:8" x14ac:dyDescent="0.25">
      <c r="H44"/>
    </row>
    <row r="45" spans="8:8" x14ac:dyDescent="0.25">
      <c r="H45"/>
    </row>
    <row r="46" spans="8:8" x14ac:dyDescent="0.25">
      <c r="H46"/>
    </row>
    <row r="47" spans="8:8" x14ac:dyDescent="0.25">
      <c r="H47"/>
    </row>
    <row r="48" spans="8:8" x14ac:dyDescent="0.25">
      <c r="H48"/>
    </row>
    <row r="49" spans="8:8" x14ac:dyDescent="0.25">
      <c r="H49"/>
    </row>
    <row r="50" spans="8:8" x14ac:dyDescent="0.25">
      <c r="H50"/>
    </row>
    <row r="51" spans="8:8" x14ac:dyDescent="0.25">
      <c r="H51"/>
    </row>
    <row r="52" spans="8:8" x14ac:dyDescent="0.25">
      <c r="H52"/>
    </row>
    <row r="53" spans="8:8" x14ac:dyDescent="0.25">
      <c r="H53"/>
    </row>
    <row r="54" spans="8:8" x14ac:dyDescent="0.25">
      <c r="H54"/>
    </row>
    <row r="55" spans="8:8" x14ac:dyDescent="0.25">
      <c r="H55"/>
    </row>
    <row r="56" spans="8:8" x14ac:dyDescent="0.25">
      <c r="H56"/>
    </row>
    <row r="57" spans="8:8" x14ac:dyDescent="0.25">
      <c r="H57"/>
    </row>
    <row r="58" spans="8:8" x14ac:dyDescent="0.25">
      <c r="H58"/>
    </row>
    <row r="59" spans="8:8" x14ac:dyDescent="0.25">
      <c r="H59"/>
    </row>
    <row r="60" spans="8:8" x14ac:dyDescent="0.25">
      <c r="H60"/>
    </row>
    <row r="61" spans="8:8" x14ac:dyDescent="0.25">
      <c r="H61"/>
    </row>
    <row r="62" spans="8:8" x14ac:dyDescent="0.25">
      <c r="H62"/>
    </row>
    <row r="63" spans="8:8" x14ac:dyDescent="0.25">
      <c r="H63"/>
    </row>
    <row r="64" spans="8:8" x14ac:dyDescent="0.25">
      <c r="H64"/>
    </row>
    <row r="65" spans="8:8" x14ac:dyDescent="0.25">
      <c r="H65"/>
    </row>
    <row r="66" spans="8:8" x14ac:dyDescent="0.25">
      <c r="H66"/>
    </row>
    <row r="67" spans="8:8" x14ac:dyDescent="0.25">
      <c r="H67"/>
    </row>
    <row r="68" spans="8:8" x14ac:dyDescent="0.25">
      <c r="H68"/>
    </row>
    <row r="69" spans="8:8" x14ac:dyDescent="0.25">
      <c r="H69"/>
    </row>
    <row r="70" spans="8:8" x14ac:dyDescent="0.25">
      <c r="H70"/>
    </row>
    <row r="71" spans="8:8" x14ac:dyDescent="0.25">
      <c r="H71"/>
    </row>
    <row r="72" spans="8:8" x14ac:dyDescent="0.25">
      <c r="H72"/>
    </row>
    <row r="73" spans="8:8" x14ac:dyDescent="0.25">
      <c r="H73"/>
    </row>
    <row r="74" spans="8:8" x14ac:dyDescent="0.25">
      <c r="H74"/>
    </row>
    <row r="75" spans="8:8" x14ac:dyDescent="0.25">
      <c r="H75"/>
    </row>
    <row r="76" spans="8:8" x14ac:dyDescent="0.25">
      <c r="H76"/>
    </row>
    <row r="77" spans="8:8" x14ac:dyDescent="0.25">
      <c r="H77"/>
    </row>
    <row r="78" spans="8:8" x14ac:dyDescent="0.25">
      <c r="H78"/>
    </row>
    <row r="79" spans="8:8" x14ac:dyDescent="0.25">
      <c r="H79"/>
    </row>
    <row r="80" spans="8:8" x14ac:dyDescent="0.25">
      <c r="H80"/>
    </row>
    <row r="81" spans="8:8" x14ac:dyDescent="0.25">
      <c r="H81"/>
    </row>
    <row r="82" spans="8:8" x14ac:dyDescent="0.25">
      <c r="H82"/>
    </row>
    <row r="83" spans="8:8" x14ac:dyDescent="0.25">
      <c r="H83"/>
    </row>
    <row r="84" spans="8:8" x14ac:dyDescent="0.25">
      <c r="H84"/>
    </row>
    <row r="85" spans="8:8" x14ac:dyDescent="0.25">
      <c r="H85"/>
    </row>
    <row r="86" spans="8:8" x14ac:dyDescent="0.25">
      <c r="H86"/>
    </row>
    <row r="87" spans="8:8" x14ac:dyDescent="0.25">
      <c r="H87"/>
    </row>
    <row r="88" spans="8:8" x14ac:dyDescent="0.25">
      <c r="H88"/>
    </row>
    <row r="89" spans="8:8" x14ac:dyDescent="0.25">
      <c r="H89"/>
    </row>
  </sheetData>
  <sortState xmlns:xlrd2="http://schemas.microsoft.com/office/spreadsheetml/2017/richdata2" ref="H2:H5">
    <sortCondition ref="H2:H5"/>
  </sortState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Sayfa1</vt:lpstr>
      <vt:lpstr>Sayfa2</vt:lpstr>
      <vt:lpstr>Sayfa3</vt:lpstr>
      <vt:lpstr>Sayfa4</vt:lpstr>
      <vt:lpstr>Sayfa5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Extra</dc:creator>
  <cp:lastModifiedBy>Dr Extra</cp:lastModifiedBy>
  <dcterms:created xsi:type="dcterms:W3CDTF">2021-04-14T14:36:08Z</dcterms:created>
  <dcterms:modified xsi:type="dcterms:W3CDTF">2021-04-15T19:58:53Z</dcterms:modified>
</cp:coreProperties>
</file>