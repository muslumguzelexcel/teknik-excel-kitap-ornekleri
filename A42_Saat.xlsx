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61D1FD99-3746-46ED-B7B9-F9E0BA567669}" xr6:coauthVersionLast="46" xr6:coauthVersionMax="46" xr10:uidLastSave="{00000000-0000-0000-0000-000000000000}"/>
  <bookViews>
    <workbookView xWindow="-120" yWindow="-120" windowWidth="24240" windowHeight="13140" xr2:uid="{F4836846-06C9-44B3-9F16-39F21710FED9}"/>
  </bookViews>
  <sheets>
    <sheet name="Sayfa1" sheetId="1" r:id="rId1"/>
    <sheet name="Sayfa2" sheetId="2" r:id="rId2"/>
    <sheet name="Sayfa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4" l="1"/>
  <c r="G8" i="4"/>
  <c r="E8" i="4"/>
  <c r="E7" i="4"/>
  <c r="G7" i="4" s="1"/>
  <c r="G6" i="4"/>
  <c r="E6" i="4"/>
  <c r="E5" i="4"/>
  <c r="G5" i="4" s="1"/>
  <c r="G4" i="4"/>
  <c r="E4" i="4"/>
  <c r="E3" i="4"/>
  <c r="G2" i="4"/>
  <c r="E2" i="4"/>
  <c r="G3" i="4" l="1"/>
  <c r="G9" i="4" s="1"/>
</calcChain>
</file>

<file path=xl/sharedStrings.xml><?xml version="1.0" encoding="utf-8"?>
<sst xmlns="http://schemas.openxmlformats.org/spreadsheetml/2006/main" count="36" uniqueCount="19">
  <si>
    <t>Toplam Süre</t>
  </si>
  <si>
    <t>Süre</t>
  </si>
  <si>
    <t>Pazartesi</t>
  </si>
  <si>
    <t>Salı</t>
  </si>
  <si>
    <t>Çarşamba</t>
  </si>
  <si>
    <t>Perşembe</t>
  </si>
  <si>
    <t>Cuma</t>
  </si>
  <si>
    <t>Cumartesi</t>
  </si>
  <si>
    <t>Pazar</t>
  </si>
  <si>
    <t>Başlangıç Saati</t>
  </si>
  <si>
    <t>Yemek Arası</t>
  </si>
  <si>
    <t>Öğlenden Sonra</t>
  </si>
  <si>
    <t>Mesai</t>
  </si>
  <si>
    <t>Mesai Fazlası</t>
  </si>
  <si>
    <t>Meai Saat Ücreti</t>
  </si>
  <si>
    <t>Mesai Dışı Saat Ücreti</t>
  </si>
  <si>
    <t>Hakediş</t>
  </si>
  <si>
    <t>Çalışma Saati</t>
  </si>
  <si>
    <t>Günlük Ücret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</si>
</sst>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TL&quot;_-;\-* #,##0.00\ &quot;TL&quot;_-;_-* &quot;-&quot;??\ &quot;TL&quot;_-;_-@_-"/>
    <numFmt numFmtId="164" formatCode="[$-F400]h:mm:ss\ AM/PM"/>
    <numFmt numFmtId="169" formatCode="h:mm"/>
    <numFmt numFmtId="170" formatCode="[h]:mm"/>
    <numFmt numFmtId="172" formatCode="_-* #,##0\ &quot;TL&quot;_-;\-* #,##0\ &quot;TL&quot;_-;_-* &quot;-&quot;??\ &quot;TL&quot;_-;_-@_-"/>
  </numFmts>
  <fonts count="7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i/>
      <sz val="11"/>
      <color theme="0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6">
    <xf numFmtId="0" fontId="0" fillId="0" borderId="0" xfId="0"/>
    <xf numFmtId="21" fontId="0" fillId="0" borderId="1" xfId="0" applyNumberFormat="1" applyBorder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46" fontId="1" fillId="0" borderId="1" xfId="0" applyNumberFormat="1" applyFont="1" applyBorder="1"/>
    <xf numFmtId="0" fontId="0" fillId="0" borderId="2" xfId="0" applyBorder="1"/>
    <xf numFmtId="0" fontId="1" fillId="2" borderId="2" xfId="0" applyFont="1" applyFill="1" applyBorder="1" applyAlignment="1">
      <alignment horizontal="center"/>
    </xf>
    <xf numFmtId="0" fontId="0" fillId="2" borderId="2" xfId="0" applyFill="1" applyBorder="1"/>
    <xf numFmtId="18" fontId="0" fillId="0" borderId="2" xfId="0" applyNumberFormat="1" applyBorder="1" applyAlignment="1">
      <alignment horizontal="center"/>
    </xf>
    <xf numFmtId="169" fontId="0" fillId="0" borderId="2" xfId="0" applyNumberFormat="1" applyBorder="1"/>
    <xf numFmtId="20" fontId="3" fillId="3" borderId="2" xfId="0" applyNumberFormat="1" applyFont="1" applyFill="1" applyBorder="1" applyAlignment="1">
      <alignment horizontal="center"/>
    </xf>
    <xf numFmtId="20" fontId="0" fillId="0" borderId="0" xfId="0" applyNumberFormat="1"/>
    <xf numFmtId="20" fontId="0" fillId="0" borderId="2" xfId="0" applyNumberFormat="1" applyBorder="1"/>
    <xf numFmtId="172" fontId="1" fillId="0" borderId="1" xfId="1" applyNumberFormat="1" applyFont="1" applyBorder="1"/>
    <xf numFmtId="170" fontId="1" fillId="0" borderId="0" xfId="0" applyNumberFormat="1" applyFont="1"/>
    <xf numFmtId="20" fontId="0" fillId="0" borderId="2" xfId="0" applyNumberFormat="1" applyBorder="1" applyAlignment="1">
      <alignment horizontal="center"/>
    </xf>
    <xf numFmtId="20" fontId="5" fillId="3" borderId="2" xfId="0" applyNumberFormat="1" applyFont="1" applyFill="1" applyBorder="1" applyAlignment="1">
      <alignment horizontal="center"/>
    </xf>
    <xf numFmtId="0" fontId="6" fillId="0" borderId="2" xfId="0" applyFont="1" applyBorder="1"/>
    <xf numFmtId="18" fontId="6" fillId="0" borderId="2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169" fontId="6" fillId="0" borderId="2" xfId="0" applyNumberFormat="1" applyFont="1" applyBorder="1"/>
    <xf numFmtId="20" fontId="6" fillId="0" borderId="2" xfId="0" applyNumberFormat="1" applyFont="1" applyBorder="1"/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BD93-6B37-4DEE-BBE7-C3EB996098F1}">
  <dimension ref="A1:F10"/>
  <sheetViews>
    <sheetView showGridLines="0" tabSelected="1" zoomScale="130" zoomScaleNormal="130" workbookViewId="0">
      <selection activeCell="B16" sqref="B16"/>
    </sheetView>
  </sheetViews>
  <sheetFormatPr defaultRowHeight="15" x14ac:dyDescent="0.25"/>
  <cols>
    <col min="1" max="1" width="12" bestFit="1" customWidth="1"/>
    <col min="3" max="3" width="6" customWidth="1"/>
    <col min="5" max="5" width="6.5703125" customWidth="1"/>
  </cols>
  <sheetData>
    <row r="1" spans="1:6" x14ac:dyDescent="0.25">
      <c r="B1" s="5" t="s">
        <v>1</v>
      </c>
      <c r="C1" s="6"/>
      <c r="D1" s="5" t="s">
        <v>1</v>
      </c>
      <c r="E1" s="6"/>
      <c r="F1" s="5" t="s">
        <v>1</v>
      </c>
    </row>
    <row r="2" spans="1:6" x14ac:dyDescent="0.25">
      <c r="B2" s="1">
        <v>0.46527777777777773</v>
      </c>
      <c r="D2" s="1">
        <v>6.9444444444444441E-3</v>
      </c>
      <c r="F2" s="1">
        <v>4.0509259259259258E-4</v>
      </c>
    </row>
    <row r="3" spans="1:6" x14ac:dyDescent="0.25">
      <c r="B3" s="1">
        <v>0.47222222222222227</v>
      </c>
      <c r="D3" s="1">
        <v>3.4722222222222224E-2</v>
      </c>
      <c r="F3" s="1">
        <v>2.8935185185185189E-4</v>
      </c>
    </row>
    <row r="4" spans="1:6" x14ac:dyDescent="0.25">
      <c r="B4" s="1">
        <v>0.22916666666666666</v>
      </c>
      <c r="D4" s="1">
        <v>1.3888888888888888E-2</v>
      </c>
      <c r="F4" s="1">
        <v>6.9444444444444444E-5</v>
      </c>
    </row>
    <row r="5" spans="1:6" x14ac:dyDescent="0.25">
      <c r="B5" s="1">
        <v>0.27777777777777779</v>
      </c>
      <c r="D5" s="1">
        <v>2.7777777777777776E-2</v>
      </c>
      <c r="F5" s="1">
        <v>6.2500000000000001E-4</v>
      </c>
    </row>
    <row r="6" spans="1:6" x14ac:dyDescent="0.25">
      <c r="B6" s="1">
        <v>0.2638888888888889</v>
      </c>
      <c r="D6" s="1">
        <v>8.3333333333333332E-3</v>
      </c>
      <c r="F6" s="1">
        <v>1.7361111111111112E-4</v>
      </c>
    </row>
    <row r="7" spans="1:6" x14ac:dyDescent="0.25">
      <c r="B7" s="1">
        <v>8.6805555555555566E-2</v>
      </c>
      <c r="D7" s="1">
        <v>2.7777777777777779E-3</v>
      </c>
      <c r="F7" s="1">
        <v>1.7361111111111112E-4</v>
      </c>
    </row>
    <row r="8" spans="1:6" x14ac:dyDescent="0.25">
      <c r="B8" s="1">
        <v>0.21180555555555555</v>
      </c>
      <c r="D8" s="1">
        <v>1.6666666666666666E-2</v>
      </c>
      <c r="F8" s="1">
        <v>1.7361111111111112E-4</v>
      </c>
    </row>
    <row r="10" spans="1:6" x14ac:dyDescent="0.25">
      <c r="A10" s="2" t="s">
        <v>0</v>
      </c>
      <c r="B10" s="7"/>
      <c r="C10" s="4"/>
      <c r="D10" s="3"/>
      <c r="E10" s="4"/>
      <c r="F10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2696-E592-43DF-B5A5-D3CF7028EA70}">
  <dimension ref="A1:J11"/>
  <sheetViews>
    <sheetView showGridLines="0" zoomScale="130" zoomScaleNormal="130" workbookViewId="0">
      <selection activeCell="C21" sqref="C21"/>
    </sheetView>
  </sheetViews>
  <sheetFormatPr defaultRowHeight="15" x14ac:dyDescent="0.25"/>
  <cols>
    <col min="1" max="1" width="12" bestFit="1" customWidth="1"/>
    <col min="2" max="2" width="14" bestFit="1" customWidth="1"/>
    <col min="3" max="3" width="13.28515625" style="14" customWidth="1"/>
    <col min="4" max="4" width="15.28515625" bestFit="1" customWidth="1"/>
    <col min="5" max="5" width="12.5703125" bestFit="1" customWidth="1"/>
    <col min="7" max="7" width="12.7109375" bestFit="1" customWidth="1"/>
    <col min="9" max="9" width="15.7109375" bestFit="1" customWidth="1"/>
    <col min="10" max="10" width="20.42578125" bestFit="1" customWidth="1"/>
  </cols>
  <sheetData>
    <row r="1" spans="1:10" x14ac:dyDescent="0.25">
      <c r="A1" s="10"/>
      <c r="B1" s="9" t="s">
        <v>9</v>
      </c>
      <c r="C1" s="13" t="s">
        <v>10</v>
      </c>
      <c r="D1" s="9" t="s">
        <v>11</v>
      </c>
      <c r="E1" s="9" t="s">
        <v>17</v>
      </c>
      <c r="F1" s="9" t="s">
        <v>12</v>
      </c>
      <c r="G1" s="9" t="s">
        <v>13</v>
      </c>
      <c r="I1" s="5" t="s">
        <v>14</v>
      </c>
      <c r="J1" s="5" t="s">
        <v>15</v>
      </c>
    </row>
    <row r="2" spans="1:10" x14ac:dyDescent="0.25">
      <c r="A2" s="8" t="s">
        <v>2</v>
      </c>
      <c r="B2" s="11">
        <v>0.33333333333333331</v>
      </c>
      <c r="C2" s="13">
        <v>2.0833333333333332E-2</v>
      </c>
      <c r="D2" s="11">
        <v>0.73958333333333337</v>
      </c>
      <c r="E2" s="12"/>
      <c r="F2" s="15">
        <v>0.33333333333333331</v>
      </c>
      <c r="G2" s="12"/>
      <c r="I2" s="16">
        <v>250</v>
      </c>
      <c r="J2" s="16">
        <v>350</v>
      </c>
    </row>
    <row r="3" spans="1:10" x14ac:dyDescent="0.25">
      <c r="A3" s="8" t="s">
        <v>3</v>
      </c>
      <c r="B3" s="11">
        <v>0.33333333333333331</v>
      </c>
      <c r="C3" s="13">
        <v>3.125E-2</v>
      </c>
      <c r="D3" s="11">
        <v>0.70833333333333337</v>
      </c>
      <c r="E3" s="12"/>
      <c r="F3" s="15">
        <v>0.33333333333333331</v>
      </c>
      <c r="G3" s="12"/>
    </row>
    <row r="4" spans="1:10" x14ac:dyDescent="0.25">
      <c r="A4" s="8" t="s">
        <v>4</v>
      </c>
      <c r="B4" s="11">
        <v>0.33333333333333331</v>
      </c>
      <c r="C4" s="13">
        <v>4.1666666666666664E-2</v>
      </c>
      <c r="D4" s="11">
        <v>0.6875</v>
      </c>
      <c r="E4" s="12"/>
      <c r="F4" s="15">
        <v>0.33333333333333331</v>
      </c>
      <c r="G4" s="12"/>
    </row>
    <row r="5" spans="1:10" x14ac:dyDescent="0.25">
      <c r="A5" s="8" t="s">
        <v>5</v>
      </c>
      <c r="B5" s="11">
        <v>0.33333333333333331</v>
      </c>
      <c r="C5" s="13">
        <v>2.7777777777777776E-2</v>
      </c>
      <c r="D5" s="11">
        <v>0.73958333333333337</v>
      </c>
      <c r="E5" s="12"/>
      <c r="F5" s="15">
        <v>0.33333333333333331</v>
      </c>
      <c r="G5" s="12"/>
    </row>
    <row r="6" spans="1:10" x14ac:dyDescent="0.25">
      <c r="A6" s="8" t="s">
        <v>6</v>
      </c>
      <c r="B6" s="11">
        <v>0.33333333333333331</v>
      </c>
      <c r="C6" s="13">
        <v>3.125E-2</v>
      </c>
      <c r="D6" s="11">
        <v>0.66666666666666663</v>
      </c>
      <c r="E6" s="12"/>
      <c r="F6" s="15">
        <v>0.33333333333333331</v>
      </c>
      <c r="G6" s="12"/>
    </row>
    <row r="7" spans="1:10" x14ac:dyDescent="0.25">
      <c r="A7" s="20" t="s">
        <v>7</v>
      </c>
      <c r="B7" s="21">
        <v>0.33333333333333331</v>
      </c>
      <c r="C7" s="19">
        <v>4.1666666666666664E-2</v>
      </c>
      <c r="D7" s="21">
        <v>0.77083333333333337</v>
      </c>
      <c r="E7" s="23"/>
      <c r="F7" s="24">
        <v>0.16666666666666666</v>
      </c>
      <c r="G7" s="23"/>
    </row>
    <row r="8" spans="1:10" x14ac:dyDescent="0.25">
      <c r="A8" s="20" t="s">
        <v>8</v>
      </c>
      <c r="B8" s="21">
        <v>0.33333333333333331</v>
      </c>
      <c r="C8" s="19">
        <v>2.0833333333333332E-2</v>
      </c>
      <c r="D8" s="21">
        <v>0.69444444444444453</v>
      </c>
      <c r="E8" s="23"/>
      <c r="F8" s="24">
        <v>0</v>
      </c>
      <c r="G8" s="23"/>
    </row>
    <row r="9" spans="1:10" x14ac:dyDescent="0.25">
      <c r="E9" s="17"/>
      <c r="F9" s="6"/>
      <c r="G9" s="17"/>
    </row>
    <row r="11" spans="1:10" x14ac:dyDescent="0.25">
      <c r="D11" s="5" t="s">
        <v>16</v>
      </c>
      <c r="E11" s="16"/>
      <c r="G11" s="16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D178-EA83-4B44-A8E4-BC392AFB9802}">
  <dimension ref="A1:J11"/>
  <sheetViews>
    <sheetView showGridLines="0" zoomScale="130" zoomScaleNormal="130" workbookViewId="0">
      <selection activeCell="E11" sqref="E11"/>
    </sheetView>
  </sheetViews>
  <sheetFormatPr defaultRowHeight="15" x14ac:dyDescent="0.25"/>
  <cols>
    <col min="1" max="1" width="12" bestFit="1" customWidth="1"/>
    <col min="2" max="2" width="14" bestFit="1" customWidth="1"/>
    <col min="3" max="3" width="13.28515625" style="14" customWidth="1"/>
    <col min="4" max="4" width="15.28515625" bestFit="1" customWidth="1"/>
    <col min="5" max="5" width="12.5703125" bestFit="1" customWidth="1"/>
    <col min="7" max="7" width="12.7109375" bestFit="1" customWidth="1"/>
    <col min="9" max="9" width="15.7109375" bestFit="1" customWidth="1"/>
    <col min="10" max="10" width="20.42578125" bestFit="1" customWidth="1"/>
  </cols>
  <sheetData>
    <row r="1" spans="1:10" x14ac:dyDescent="0.25">
      <c r="A1" s="10"/>
      <c r="B1" s="9" t="s">
        <v>9</v>
      </c>
      <c r="C1" s="13" t="s">
        <v>10</v>
      </c>
      <c r="D1" s="9" t="s">
        <v>11</v>
      </c>
      <c r="E1" s="9" t="s">
        <v>17</v>
      </c>
      <c r="F1" s="9" t="s">
        <v>12</v>
      </c>
      <c r="G1" s="9" t="s">
        <v>13</v>
      </c>
      <c r="I1" s="25" t="s">
        <v>18</v>
      </c>
      <c r="J1" s="25" t="s">
        <v>15</v>
      </c>
    </row>
    <row r="2" spans="1:10" x14ac:dyDescent="0.25">
      <c r="A2" s="8" t="s">
        <v>2</v>
      </c>
      <c r="B2" s="11">
        <v>0.33333333333333331</v>
      </c>
      <c r="C2" s="13">
        <v>2.0833333333333332E-2</v>
      </c>
      <c r="D2" s="18">
        <v>0.73958333333333337</v>
      </c>
      <c r="E2" s="12">
        <f>D2-B2-C2</f>
        <v>0.38541666666666674</v>
      </c>
      <c r="F2" s="15">
        <v>0.33333333333333331</v>
      </c>
      <c r="G2" s="12">
        <f>IF(E2&lt;F2,0,E2-F2)</f>
        <v>5.2083333333333426E-2</v>
      </c>
      <c r="I2" s="16">
        <v>1000</v>
      </c>
      <c r="J2" s="16">
        <v>200</v>
      </c>
    </row>
    <row r="3" spans="1:10" x14ac:dyDescent="0.25">
      <c r="A3" s="8" t="s">
        <v>3</v>
      </c>
      <c r="B3" s="11">
        <v>0.33333333333333331</v>
      </c>
      <c r="C3" s="13">
        <v>3.125E-2</v>
      </c>
      <c r="D3" s="18">
        <v>0.70833333333333337</v>
      </c>
      <c r="E3" s="12">
        <f t="shared" ref="E3:E8" si="0">D3-B3-C3</f>
        <v>0.34375000000000006</v>
      </c>
      <c r="F3" s="15">
        <v>0.33333333333333331</v>
      </c>
      <c r="G3" s="12">
        <f t="shared" ref="G3:G8" si="1">IF(E3&lt;F3,0,E3-F3)</f>
        <v>1.0416666666666741E-2</v>
      </c>
    </row>
    <row r="4" spans="1:10" x14ac:dyDescent="0.25">
      <c r="A4" s="8" t="s">
        <v>4</v>
      </c>
      <c r="B4" s="11">
        <v>0.33333333333333331</v>
      </c>
      <c r="C4" s="13">
        <v>4.1666666666666664E-2</v>
      </c>
      <c r="D4" s="18">
        <v>0.6875</v>
      </c>
      <c r="E4" s="12">
        <f t="shared" si="0"/>
        <v>0.3125</v>
      </c>
      <c r="F4" s="15">
        <v>0.33333333333333331</v>
      </c>
      <c r="G4" s="12">
        <f t="shared" si="1"/>
        <v>0</v>
      </c>
    </row>
    <row r="5" spans="1:10" x14ac:dyDescent="0.25">
      <c r="A5" s="8" t="s">
        <v>5</v>
      </c>
      <c r="B5" s="11">
        <v>0.33333333333333331</v>
      </c>
      <c r="C5" s="13">
        <v>2.7777777777777776E-2</v>
      </c>
      <c r="D5" s="18">
        <v>0.73958333333333337</v>
      </c>
      <c r="E5" s="12">
        <f t="shared" si="0"/>
        <v>0.37847222222222227</v>
      </c>
      <c r="F5" s="15">
        <v>0.33333333333333331</v>
      </c>
      <c r="G5" s="12">
        <f t="shared" si="1"/>
        <v>4.5138888888888951E-2</v>
      </c>
    </row>
    <row r="6" spans="1:10" x14ac:dyDescent="0.25">
      <c r="A6" s="8" t="s">
        <v>6</v>
      </c>
      <c r="B6" s="11">
        <v>0.33333333333333331</v>
      </c>
      <c r="C6" s="13">
        <v>3.125E-2</v>
      </c>
      <c r="D6" s="18">
        <v>0.66666666666666663</v>
      </c>
      <c r="E6" s="12">
        <f t="shared" si="0"/>
        <v>0.30208333333333331</v>
      </c>
      <c r="F6" s="15">
        <v>0.33333333333333331</v>
      </c>
      <c r="G6" s="12">
        <f t="shared" si="1"/>
        <v>0</v>
      </c>
    </row>
    <row r="7" spans="1:10" x14ac:dyDescent="0.25">
      <c r="A7" s="20" t="s">
        <v>7</v>
      </c>
      <c r="B7" s="21">
        <v>0.33333333333333331</v>
      </c>
      <c r="C7" s="19">
        <v>4.1666666666666664E-2</v>
      </c>
      <c r="D7" s="22">
        <v>0.77083333333333337</v>
      </c>
      <c r="E7" s="23">
        <f t="shared" si="0"/>
        <v>0.39583333333333337</v>
      </c>
      <c r="F7" s="24">
        <v>0.16666666666666666</v>
      </c>
      <c r="G7" s="23">
        <f t="shared" si="1"/>
        <v>0.22916666666666671</v>
      </c>
    </row>
    <row r="8" spans="1:10" x14ac:dyDescent="0.25">
      <c r="A8" s="20" t="s">
        <v>8</v>
      </c>
      <c r="B8" s="21">
        <v>0.33333333333333331</v>
      </c>
      <c r="C8" s="19">
        <v>2.0833333333333332E-2</v>
      </c>
      <c r="D8" s="22">
        <v>0.69444444444444453</v>
      </c>
      <c r="E8" s="23">
        <f t="shared" si="0"/>
        <v>0.3402777777777779</v>
      </c>
      <c r="F8" s="24">
        <v>0</v>
      </c>
      <c r="G8" s="23">
        <f t="shared" si="1"/>
        <v>0.3402777777777779</v>
      </c>
    </row>
    <row r="9" spans="1:10" x14ac:dyDescent="0.25">
      <c r="E9" s="17">
        <f>SUM(E2:E8)</f>
        <v>2.4583333333333339</v>
      </c>
      <c r="F9" s="6"/>
      <c r="G9" s="17">
        <f>SUM(G2:G8)</f>
        <v>0.6770833333333337</v>
      </c>
      <c r="I9" s="14"/>
    </row>
    <row r="11" spans="1:10" x14ac:dyDescent="0.25">
      <c r="D11" s="5" t="s">
        <v>16</v>
      </c>
      <c r="E11" s="16"/>
      <c r="G11" s="1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2021-04-13T18:50:17Z</dcterms:created>
  <dcterms:modified xsi:type="dcterms:W3CDTF">2021-04-14T12:06:57Z</dcterms:modified>
</cp:coreProperties>
</file>