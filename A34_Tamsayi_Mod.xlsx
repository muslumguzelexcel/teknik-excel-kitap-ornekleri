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B90D0182-8B8F-431B-B571-8EE22E4F6D14}" xr6:coauthVersionLast="46" xr6:coauthVersionMax="46" xr10:uidLastSave="{00000000-0000-0000-0000-000000000000}"/>
  <bookViews>
    <workbookView xWindow="-120" yWindow="-120" windowWidth="24240" windowHeight="13140" xr2:uid="{17E7E78F-0AFD-4991-9943-6C6267C6DEAD}"/>
  </bookViews>
  <sheets>
    <sheet name="Sayfa1" sheetId="1" r:id="rId1"/>
    <sheet name="Sayfa2" sheetId="3" r:id="rId2"/>
    <sheet name="Sayf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E13" i="4"/>
  <c r="G13" i="4" s="1"/>
  <c r="D13" i="4"/>
  <c r="F12" i="4"/>
  <c r="E12" i="4"/>
  <c r="G12" i="4" s="1"/>
  <c r="D12" i="4"/>
  <c r="F11" i="4"/>
  <c r="E11" i="4"/>
  <c r="G11" i="4" s="1"/>
  <c r="D11" i="4"/>
  <c r="F10" i="4"/>
  <c r="E10" i="4"/>
  <c r="G10" i="4" s="1"/>
  <c r="D10" i="4"/>
  <c r="F9" i="4"/>
  <c r="E9" i="4"/>
  <c r="G9" i="4" s="1"/>
  <c r="D9" i="4"/>
  <c r="F8" i="4"/>
  <c r="E8" i="4"/>
  <c r="G8" i="4" s="1"/>
  <c r="D8" i="4"/>
  <c r="F7" i="4"/>
  <c r="E7" i="4"/>
  <c r="G7" i="4" s="1"/>
  <c r="D7" i="4"/>
  <c r="F6" i="4"/>
  <c r="E6" i="4"/>
  <c r="G6" i="4" s="1"/>
  <c r="D6" i="4"/>
  <c r="F5" i="4"/>
  <c r="E5" i="4"/>
  <c r="G5" i="4" s="1"/>
  <c r="D5" i="4"/>
  <c r="F4" i="4"/>
  <c r="E4" i="4"/>
  <c r="G4" i="4" s="1"/>
  <c r="D4" i="4"/>
  <c r="F3" i="4"/>
  <c r="E3" i="4"/>
  <c r="G3" i="4" s="1"/>
  <c r="D3" i="4"/>
  <c r="F2" i="4"/>
  <c r="G2" i="4" s="1"/>
  <c r="E2" i="4"/>
  <c r="D2" i="4"/>
  <c r="E11" i="3"/>
  <c r="E12" i="3"/>
  <c r="E13" i="3"/>
  <c r="D11" i="3"/>
  <c r="D12" i="3"/>
  <c r="D13" i="3"/>
  <c r="D2" i="3"/>
  <c r="E2" i="3"/>
  <c r="D3" i="3"/>
  <c r="E3" i="3"/>
  <c r="D4" i="3"/>
  <c r="E4" i="3"/>
  <c r="D5" i="3"/>
  <c r="E5" i="3"/>
  <c r="D6" i="3"/>
  <c r="E6" i="3"/>
  <c r="F9" i="3" s="1"/>
  <c r="D7" i="3"/>
  <c r="E7" i="3"/>
  <c r="D8" i="3"/>
  <c r="E8" i="3"/>
  <c r="D9" i="3"/>
  <c r="E9" i="3"/>
  <c r="D10" i="3"/>
  <c r="E10" i="3"/>
  <c r="F10" i="3"/>
  <c r="J2" i="4" l="1" a="1"/>
  <c r="J2" i="4" s="1"/>
  <c r="F5" i="3"/>
  <c r="F8" i="3"/>
  <c r="F4" i="3"/>
  <c r="F11" i="3"/>
  <c r="F12" i="3"/>
  <c r="F13" i="3"/>
  <c r="F6" i="3"/>
  <c r="F2" i="3"/>
  <c r="F7" i="3"/>
  <c r="F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<sst xmlns="http://schemas.openxmlformats.org/spreadsheetml/2006/main" count="65" uniqueCount="11">
  <si>
    <t>Adet</t>
  </si>
  <si>
    <t>Koli Adet</t>
  </si>
  <si>
    <t>Kaç Koli</t>
  </si>
  <si>
    <t>Kalan</t>
  </si>
  <si>
    <t>Ürünler</t>
  </si>
  <si>
    <t>U9000120</t>
  </si>
  <si>
    <t>U9000121</t>
  </si>
  <si>
    <t>Önerilen Koli</t>
  </si>
  <si>
    <t>U9000122</t>
  </si>
  <si>
    <t>U9000123</t>
  </si>
  <si>
    <t>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</si>
</sst>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CBB6-8AAA-4396-8D09-C4FBCB0FD072}">
  <dimension ref="A1:F12"/>
  <sheetViews>
    <sheetView showGridLines="0" tabSelected="1" zoomScale="160" zoomScaleNormal="160" workbookViewId="0">
      <selection activeCell="C11" sqref="C11"/>
    </sheetView>
  </sheetViews>
  <sheetFormatPr defaultRowHeight="15" x14ac:dyDescent="0.25"/>
  <cols>
    <col min="1" max="1" width="13" customWidth="1"/>
    <col min="3" max="3" width="9.140625" style="5"/>
    <col min="4" max="4" width="11.140625" style="5" customWidth="1"/>
    <col min="5" max="5" width="9.140625" style="5"/>
    <col min="6" max="6" width="17.5703125" bestFit="1" customWidth="1"/>
  </cols>
  <sheetData>
    <row r="1" spans="1:6" x14ac:dyDescent="0.25">
      <c r="A1" s="1" t="s">
        <v>4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7</v>
      </c>
    </row>
    <row r="2" spans="1:6" x14ac:dyDescent="0.25">
      <c r="A2" s="2" t="s">
        <v>5</v>
      </c>
      <c r="B2" s="2">
        <v>987</v>
      </c>
      <c r="C2" s="6">
        <v>9</v>
      </c>
      <c r="D2" s="4"/>
      <c r="E2" s="4"/>
      <c r="F2" s="4"/>
    </row>
    <row r="3" spans="1:6" x14ac:dyDescent="0.25">
      <c r="A3" s="2" t="s">
        <v>5</v>
      </c>
      <c r="B3" s="2">
        <v>987</v>
      </c>
      <c r="C3" s="6">
        <v>12</v>
      </c>
      <c r="D3" s="4"/>
      <c r="E3" s="4"/>
      <c r="F3" s="4"/>
    </row>
    <row r="4" spans="1:6" x14ac:dyDescent="0.25">
      <c r="A4" s="2" t="s">
        <v>5</v>
      </c>
      <c r="B4" s="2">
        <v>987</v>
      </c>
      <c r="C4" s="6">
        <v>16</v>
      </c>
      <c r="D4" s="4"/>
      <c r="E4" s="4"/>
      <c r="F4" s="4"/>
    </row>
    <row r="5" spans="1:6" x14ac:dyDescent="0.25">
      <c r="A5" s="2" t="s">
        <v>5</v>
      </c>
      <c r="B5" s="2">
        <v>987</v>
      </c>
      <c r="C5" s="6">
        <v>21</v>
      </c>
      <c r="D5" s="4"/>
      <c r="E5" s="4"/>
      <c r="F5" s="4"/>
    </row>
    <row r="6" spans="1:6" x14ac:dyDescent="0.25">
      <c r="A6" s="2" t="s">
        <v>6</v>
      </c>
      <c r="B6" s="2">
        <v>1021</v>
      </c>
      <c r="C6" s="6">
        <v>9</v>
      </c>
      <c r="D6" s="4"/>
      <c r="E6" s="4"/>
      <c r="F6" s="4"/>
    </row>
    <row r="7" spans="1:6" x14ac:dyDescent="0.25">
      <c r="A7" s="2" t="s">
        <v>6</v>
      </c>
      <c r="B7" s="2">
        <v>1021</v>
      </c>
      <c r="C7" s="6">
        <v>12</v>
      </c>
      <c r="D7" s="4"/>
      <c r="E7" s="4"/>
      <c r="F7" s="4"/>
    </row>
    <row r="8" spans="1:6" x14ac:dyDescent="0.25">
      <c r="A8" s="2" t="s">
        <v>6</v>
      </c>
      <c r="B8" s="2">
        <v>1021</v>
      </c>
      <c r="C8" s="6">
        <v>15</v>
      </c>
      <c r="D8" s="4"/>
      <c r="E8" s="4"/>
      <c r="F8" s="4"/>
    </row>
    <row r="9" spans="1:6" x14ac:dyDescent="0.25">
      <c r="A9" s="2" t="s">
        <v>6</v>
      </c>
      <c r="B9" s="2">
        <v>1021</v>
      </c>
      <c r="C9" s="6">
        <v>16</v>
      </c>
      <c r="D9" s="4"/>
      <c r="E9" s="4"/>
      <c r="F9" s="4"/>
    </row>
    <row r="10" spans="1:6" x14ac:dyDescent="0.25">
      <c r="A10" s="2" t="s">
        <v>6</v>
      </c>
      <c r="B10" s="2">
        <v>1021</v>
      </c>
      <c r="C10" s="6">
        <v>21</v>
      </c>
      <c r="D10" s="4"/>
      <c r="E10" s="4"/>
      <c r="F10" s="4"/>
    </row>
    <row r="12" spans="1:6" x14ac:dyDescent="0.25">
      <c r="C12"/>
      <c r="D12"/>
      <c r="E12"/>
    </row>
  </sheetData>
  <sortState xmlns:xlrd2="http://schemas.microsoft.com/office/spreadsheetml/2017/richdata2" ref="A2:E10">
    <sortCondition ref="A2:A10"/>
    <sortCondition ref="C2:C10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90B3-B3C6-4863-8EA4-BABF08D9A085}">
  <dimension ref="A1:O13"/>
  <sheetViews>
    <sheetView showGridLines="0" zoomScale="160" zoomScaleNormal="160" workbookViewId="0"/>
  </sheetViews>
  <sheetFormatPr defaultRowHeight="15" x14ac:dyDescent="0.25"/>
  <cols>
    <col min="1" max="1" width="13" customWidth="1"/>
    <col min="3" max="3" width="9.140625" style="5"/>
    <col min="4" max="4" width="11.140625" style="5" customWidth="1"/>
    <col min="5" max="5" width="9.140625" style="5"/>
    <col min="6" max="6" width="17.5703125" bestFit="1" customWidth="1"/>
    <col min="7" max="9" width="11.5703125" customWidth="1"/>
    <col min="10" max="10" width="10.5703125" bestFit="1" customWidth="1"/>
    <col min="15" max="15" width="12.7109375" bestFit="1" customWidth="1"/>
  </cols>
  <sheetData>
    <row r="1" spans="1:15" x14ac:dyDescent="0.25">
      <c r="A1" s="1" t="s">
        <v>4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7</v>
      </c>
      <c r="G1" s="3" t="s">
        <v>10</v>
      </c>
      <c r="J1" s="1" t="s">
        <v>4</v>
      </c>
      <c r="K1" s="1" t="s">
        <v>0</v>
      </c>
      <c r="L1" s="3" t="s">
        <v>1</v>
      </c>
      <c r="M1" s="3" t="s">
        <v>2</v>
      </c>
      <c r="N1" s="3" t="s">
        <v>3</v>
      </c>
      <c r="O1" s="3" t="s">
        <v>7</v>
      </c>
    </row>
    <row r="2" spans="1:15" x14ac:dyDescent="0.25">
      <c r="A2" s="2" t="s">
        <v>5</v>
      </c>
      <c r="B2" s="2">
        <v>987</v>
      </c>
      <c r="C2" s="6">
        <v>9</v>
      </c>
      <c r="D2" s="4">
        <f>INT(B2/C2)</f>
        <v>109</v>
      </c>
      <c r="E2" s="4">
        <f>MOD(B2,C2)</f>
        <v>6</v>
      </c>
      <c r="F2" s="4">
        <f>_xlfn.MINIFS(E:E,A:A,A2)</f>
        <v>0</v>
      </c>
    </row>
    <row r="3" spans="1:15" x14ac:dyDescent="0.25">
      <c r="A3" s="2" t="s">
        <v>5</v>
      </c>
      <c r="B3" s="2">
        <v>987</v>
      </c>
      <c r="C3" s="6">
        <v>12</v>
      </c>
      <c r="D3" s="4">
        <f t="shared" ref="D3:D13" si="0">INT(B3/C3)</f>
        <v>82</v>
      </c>
      <c r="E3" s="4">
        <f t="shared" ref="E3:E13" si="1">MOD(B3,C3)</f>
        <v>3</v>
      </c>
      <c r="F3" s="4">
        <f t="shared" ref="F3:F13" si="2">_xlfn.MINIFS(E:E,A:A,A3)</f>
        <v>0</v>
      </c>
    </row>
    <row r="4" spans="1:15" x14ac:dyDescent="0.25">
      <c r="A4" s="2" t="s">
        <v>5</v>
      </c>
      <c r="B4" s="2">
        <v>987</v>
      </c>
      <c r="C4" s="6">
        <v>16</v>
      </c>
      <c r="D4" s="4">
        <f t="shared" si="0"/>
        <v>61</v>
      </c>
      <c r="E4" s="4">
        <f t="shared" si="1"/>
        <v>11</v>
      </c>
      <c r="F4" s="4">
        <f t="shared" si="2"/>
        <v>0</v>
      </c>
    </row>
    <row r="5" spans="1:15" x14ac:dyDescent="0.25">
      <c r="A5" s="2" t="s">
        <v>5</v>
      </c>
      <c r="B5" s="2">
        <v>987</v>
      </c>
      <c r="C5" s="6">
        <v>21</v>
      </c>
      <c r="D5" s="4">
        <f t="shared" si="0"/>
        <v>47</v>
      </c>
      <c r="E5" s="4">
        <f t="shared" si="1"/>
        <v>0</v>
      </c>
      <c r="F5" s="4">
        <f t="shared" si="2"/>
        <v>0</v>
      </c>
    </row>
    <row r="6" spans="1:15" x14ac:dyDescent="0.25">
      <c r="A6" s="2" t="s">
        <v>6</v>
      </c>
      <c r="B6" s="2">
        <v>1021</v>
      </c>
      <c r="C6" s="6">
        <v>9</v>
      </c>
      <c r="D6" s="4">
        <f t="shared" si="0"/>
        <v>113</v>
      </c>
      <c r="E6" s="4">
        <f t="shared" si="1"/>
        <v>4</v>
      </c>
      <c r="F6" s="4">
        <f t="shared" si="2"/>
        <v>1</v>
      </c>
    </row>
    <row r="7" spans="1:15" x14ac:dyDescent="0.25">
      <c r="A7" s="2" t="s">
        <v>6</v>
      </c>
      <c r="B7" s="2">
        <v>1021</v>
      </c>
      <c r="C7" s="6">
        <v>12</v>
      </c>
      <c r="D7" s="4">
        <f t="shared" si="0"/>
        <v>85</v>
      </c>
      <c r="E7" s="4">
        <f t="shared" si="1"/>
        <v>1</v>
      </c>
      <c r="F7" s="4">
        <f t="shared" si="2"/>
        <v>1</v>
      </c>
    </row>
    <row r="8" spans="1:15" x14ac:dyDescent="0.25">
      <c r="A8" s="2" t="s">
        <v>6</v>
      </c>
      <c r="B8" s="2">
        <v>1021</v>
      </c>
      <c r="C8" s="6">
        <v>15</v>
      </c>
      <c r="D8" s="4">
        <f t="shared" si="0"/>
        <v>68</v>
      </c>
      <c r="E8" s="4">
        <f t="shared" si="1"/>
        <v>1</v>
      </c>
      <c r="F8" s="4">
        <f t="shared" si="2"/>
        <v>1</v>
      </c>
    </row>
    <row r="9" spans="1:15" x14ac:dyDescent="0.25">
      <c r="A9" s="2" t="s">
        <v>6</v>
      </c>
      <c r="B9" s="2">
        <v>1021</v>
      </c>
      <c r="C9" s="6">
        <v>16</v>
      </c>
      <c r="D9" s="4">
        <f t="shared" si="0"/>
        <v>63</v>
      </c>
      <c r="E9" s="4">
        <f t="shared" si="1"/>
        <v>13</v>
      </c>
      <c r="F9" s="4">
        <f t="shared" si="2"/>
        <v>1</v>
      </c>
    </row>
    <row r="10" spans="1:15" x14ac:dyDescent="0.25">
      <c r="A10" s="2" t="s">
        <v>8</v>
      </c>
      <c r="B10" s="2">
        <v>2008</v>
      </c>
      <c r="C10" s="6">
        <v>9</v>
      </c>
      <c r="D10" s="4">
        <f t="shared" si="0"/>
        <v>223</v>
      </c>
      <c r="E10" s="4">
        <f t="shared" si="1"/>
        <v>1</v>
      </c>
      <c r="F10" s="4">
        <f t="shared" si="2"/>
        <v>1</v>
      </c>
    </row>
    <row r="11" spans="1:15" x14ac:dyDescent="0.25">
      <c r="A11" s="2" t="s">
        <v>8</v>
      </c>
      <c r="B11" s="2">
        <v>2008</v>
      </c>
      <c r="C11" s="6">
        <v>12</v>
      </c>
      <c r="D11" s="4">
        <f t="shared" si="0"/>
        <v>167</v>
      </c>
      <c r="E11" s="4">
        <f t="shared" si="1"/>
        <v>4</v>
      </c>
      <c r="F11" s="4">
        <f t="shared" si="2"/>
        <v>1</v>
      </c>
    </row>
    <row r="12" spans="1:15" x14ac:dyDescent="0.25">
      <c r="A12" s="2" t="s">
        <v>9</v>
      </c>
      <c r="B12" s="7">
        <v>1399</v>
      </c>
      <c r="C12" s="6">
        <v>9</v>
      </c>
      <c r="D12" s="4">
        <f t="shared" si="0"/>
        <v>155</v>
      </c>
      <c r="E12" s="4">
        <f t="shared" si="1"/>
        <v>4</v>
      </c>
      <c r="F12" s="4">
        <f t="shared" si="2"/>
        <v>4</v>
      </c>
    </row>
    <row r="13" spans="1:15" x14ac:dyDescent="0.25">
      <c r="A13" s="2" t="s">
        <v>9</v>
      </c>
      <c r="B13" s="2">
        <v>1399</v>
      </c>
      <c r="C13" s="6">
        <v>12</v>
      </c>
      <c r="D13" s="4">
        <f t="shared" si="0"/>
        <v>116</v>
      </c>
      <c r="E13" s="4">
        <f t="shared" si="1"/>
        <v>7</v>
      </c>
      <c r="F13" s="4">
        <f t="shared" si="2"/>
        <v>4</v>
      </c>
    </row>
  </sheetData>
  <phoneticPr fontId="2" type="noConversion"/>
  <conditionalFormatting sqref="A1:F13 G1">
    <cfRule type="expression" dxfId="3" priority="6">
      <formula>$E1=$F1</formula>
    </cfRule>
  </conditionalFormatting>
  <conditionalFormatting sqref="J1:O1">
    <cfRule type="expression" dxfId="2" priority="1">
      <formula>$E1=$F1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8F64-8B6A-4522-874E-278704CAC245}">
  <dimension ref="A1:O13"/>
  <sheetViews>
    <sheetView showGridLines="0" zoomScale="160" zoomScaleNormal="160" workbookViewId="0">
      <selection activeCell="J2" sqref="J2"/>
    </sheetView>
  </sheetViews>
  <sheetFormatPr defaultRowHeight="15" x14ac:dyDescent="0.25"/>
  <cols>
    <col min="1" max="1" width="13" customWidth="1"/>
    <col min="3" max="3" width="9.140625" style="5"/>
    <col min="4" max="4" width="11.140625" style="5" customWidth="1"/>
    <col min="5" max="5" width="9.140625" style="5"/>
    <col min="6" max="6" width="17.5703125" bestFit="1" customWidth="1"/>
    <col min="7" max="9" width="11.5703125" customWidth="1"/>
    <col min="10" max="10" width="10.5703125" bestFit="1" customWidth="1"/>
    <col min="15" max="15" width="12.7109375" bestFit="1" customWidth="1"/>
  </cols>
  <sheetData>
    <row r="1" spans="1:15" x14ac:dyDescent="0.25">
      <c r="A1" s="1" t="s">
        <v>4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7</v>
      </c>
      <c r="G1" s="3" t="s">
        <v>10</v>
      </c>
      <c r="J1" s="1" t="s">
        <v>4</v>
      </c>
      <c r="K1" s="1" t="s">
        <v>0</v>
      </c>
      <c r="L1" s="3" t="s">
        <v>1</v>
      </c>
      <c r="M1" s="3" t="s">
        <v>2</v>
      </c>
      <c r="N1" s="3" t="s">
        <v>3</v>
      </c>
      <c r="O1" s="3" t="s">
        <v>7</v>
      </c>
    </row>
    <row r="2" spans="1:15" x14ac:dyDescent="0.25">
      <c r="A2" s="2" t="s">
        <v>5</v>
      </c>
      <c r="B2" s="2">
        <v>987</v>
      </c>
      <c r="C2" s="6">
        <v>9</v>
      </c>
      <c r="D2" s="4">
        <f>INT(B2/C2)</f>
        <v>109</v>
      </c>
      <c r="E2" s="4">
        <f>MOD(B2,C2)</f>
        <v>6</v>
      </c>
      <c r="F2" s="4">
        <f>_xlfn.MINIFS(E:E,A:A,A2)</f>
        <v>0</v>
      </c>
      <c r="G2" t="b">
        <f>E2=F2</f>
        <v>0</v>
      </c>
      <c r="J2" t="str" cm="1">
        <f t="array" ref="J2:O6">_xlfn._xlws.FILTER($A$2:$F$13,G2:G13=TRUE)</f>
        <v>U9000120</v>
      </c>
      <c r="K2">
        <v>987</v>
      </c>
      <c r="L2">
        <v>21</v>
      </c>
      <c r="M2">
        <v>47</v>
      </c>
      <c r="N2">
        <v>0</v>
      </c>
      <c r="O2">
        <v>0</v>
      </c>
    </row>
    <row r="3" spans="1:15" x14ac:dyDescent="0.25">
      <c r="A3" s="2" t="s">
        <v>5</v>
      </c>
      <c r="B3" s="2">
        <v>987</v>
      </c>
      <c r="C3" s="6">
        <v>12</v>
      </c>
      <c r="D3" s="4">
        <f t="shared" ref="D3:D13" si="0">INT(B3/C3)</f>
        <v>82</v>
      </c>
      <c r="E3" s="4">
        <f t="shared" ref="E3:E13" si="1">MOD(B3,C3)</f>
        <v>3</v>
      </c>
      <c r="F3" s="4">
        <f t="shared" ref="F3:F13" si="2">_xlfn.MINIFS(E:E,A:A,A3)</f>
        <v>0</v>
      </c>
      <c r="G3" t="b">
        <f t="shared" ref="G3:G13" si="3">E3=F3</f>
        <v>0</v>
      </c>
      <c r="J3" t="str">
        <v>U9000121</v>
      </c>
      <c r="K3">
        <v>1021</v>
      </c>
      <c r="L3">
        <v>12</v>
      </c>
      <c r="M3">
        <v>85</v>
      </c>
      <c r="N3">
        <v>1</v>
      </c>
      <c r="O3">
        <v>1</v>
      </c>
    </row>
    <row r="4" spans="1:15" x14ac:dyDescent="0.25">
      <c r="A4" s="2" t="s">
        <v>5</v>
      </c>
      <c r="B4" s="2">
        <v>987</v>
      </c>
      <c r="C4" s="6">
        <v>16</v>
      </c>
      <c r="D4" s="4">
        <f t="shared" si="0"/>
        <v>61</v>
      </c>
      <c r="E4" s="4">
        <f t="shared" si="1"/>
        <v>11</v>
      </c>
      <c r="F4" s="4">
        <f t="shared" si="2"/>
        <v>0</v>
      </c>
      <c r="G4" t="b">
        <f t="shared" si="3"/>
        <v>0</v>
      </c>
      <c r="J4" t="str">
        <v>U9000121</v>
      </c>
      <c r="K4">
        <v>1021</v>
      </c>
      <c r="L4">
        <v>15</v>
      </c>
      <c r="M4">
        <v>68</v>
      </c>
      <c r="N4">
        <v>1</v>
      </c>
      <c r="O4">
        <v>1</v>
      </c>
    </row>
    <row r="5" spans="1:15" x14ac:dyDescent="0.25">
      <c r="A5" s="2" t="s">
        <v>5</v>
      </c>
      <c r="B5" s="2">
        <v>987</v>
      </c>
      <c r="C5" s="6">
        <v>21</v>
      </c>
      <c r="D5" s="4">
        <f t="shared" si="0"/>
        <v>47</v>
      </c>
      <c r="E5" s="4">
        <f t="shared" si="1"/>
        <v>0</v>
      </c>
      <c r="F5" s="4">
        <f t="shared" si="2"/>
        <v>0</v>
      </c>
      <c r="G5" t="b">
        <f t="shared" si="3"/>
        <v>1</v>
      </c>
      <c r="J5" t="str">
        <v>U9000122</v>
      </c>
      <c r="K5">
        <v>2008</v>
      </c>
      <c r="L5">
        <v>9</v>
      </c>
      <c r="M5">
        <v>223</v>
      </c>
      <c r="N5">
        <v>1</v>
      </c>
      <c r="O5">
        <v>1</v>
      </c>
    </row>
    <row r="6" spans="1:15" x14ac:dyDescent="0.25">
      <c r="A6" s="2" t="s">
        <v>6</v>
      </c>
      <c r="B6" s="2">
        <v>1021</v>
      </c>
      <c r="C6" s="6">
        <v>9</v>
      </c>
      <c r="D6" s="4">
        <f t="shared" si="0"/>
        <v>113</v>
      </c>
      <c r="E6" s="4">
        <f t="shared" si="1"/>
        <v>4</v>
      </c>
      <c r="F6" s="4">
        <f t="shared" si="2"/>
        <v>1</v>
      </c>
      <c r="G6" t="b">
        <f t="shared" si="3"/>
        <v>0</v>
      </c>
      <c r="J6" t="str">
        <v>U9000123</v>
      </c>
      <c r="K6">
        <v>1399</v>
      </c>
      <c r="L6">
        <v>9</v>
      </c>
      <c r="M6">
        <v>155</v>
      </c>
      <c r="N6">
        <v>4</v>
      </c>
      <c r="O6">
        <v>4</v>
      </c>
    </row>
    <row r="7" spans="1:15" x14ac:dyDescent="0.25">
      <c r="A7" s="2" t="s">
        <v>6</v>
      </c>
      <c r="B7" s="2">
        <v>1021</v>
      </c>
      <c r="C7" s="6">
        <v>12</v>
      </c>
      <c r="D7" s="4">
        <f t="shared" si="0"/>
        <v>85</v>
      </c>
      <c r="E7" s="4">
        <f t="shared" si="1"/>
        <v>1</v>
      </c>
      <c r="F7" s="4">
        <f t="shared" si="2"/>
        <v>1</v>
      </c>
      <c r="G7" t="b">
        <f t="shared" si="3"/>
        <v>1</v>
      </c>
    </row>
    <row r="8" spans="1:15" x14ac:dyDescent="0.25">
      <c r="A8" s="2" t="s">
        <v>6</v>
      </c>
      <c r="B8" s="2">
        <v>1021</v>
      </c>
      <c r="C8" s="6">
        <v>15</v>
      </c>
      <c r="D8" s="4">
        <f t="shared" si="0"/>
        <v>68</v>
      </c>
      <c r="E8" s="4">
        <f t="shared" si="1"/>
        <v>1</v>
      </c>
      <c r="F8" s="4">
        <f t="shared" si="2"/>
        <v>1</v>
      </c>
      <c r="G8" t="b">
        <f t="shared" si="3"/>
        <v>1</v>
      </c>
    </row>
    <row r="9" spans="1:15" x14ac:dyDescent="0.25">
      <c r="A9" s="2" t="s">
        <v>6</v>
      </c>
      <c r="B9" s="2">
        <v>1021</v>
      </c>
      <c r="C9" s="6">
        <v>16</v>
      </c>
      <c r="D9" s="4">
        <f t="shared" si="0"/>
        <v>63</v>
      </c>
      <c r="E9" s="4">
        <f t="shared" si="1"/>
        <v>13</v>
      </c>
      <c r="F9" s="4">
        <f t="shared" si="2"/>
        <v>1</v>
      </c>
      <c r="G9" t="b">
        <f t="shared" si="3"/>
        <v>0</v>
      </c>
    </row>
    <row r="10" spans="1:15" x14ac:dyDescent="0.25">
      <c r="A10" s="2" t="s">
        <v>8</v>
      </c>
      <c r="B10" s="2">
        <v>2008</v>
      </c>
      <c r="C10" s="6">
        <v>9</v>
      </c>
      <c r="D10" s="4">
        <f t="shared" si="0"/>
        <v>223</v>
      </c>
      <c r="E10" s="4">
        <f t="shared" si="1"/>
        <v>1</v>
      </c>
      <c r="F10" s="4">
        <f t="shared" si="2"/>
        <v>1</v>
      </c>
      <c r="G10" t="b">
        <f t="shared" si="3"/>
        <v>1</v>
      </c>
    </row>
    <row r="11" spans="1:15" x14ac:dyDescent="0.25">
      <c r="A11" s="2" t="s">
        <v>8</v>
      </c>
      <c r="B11" s="2">
        <v>2008</v>
      </c>
      <c r="C11" s="6">
        <v>12</v>
      </c>
      <c r="D11" s="4">
        <f t="shared" si="0"/>
        <v>167</v>
      </c>
      <c r="E11" s="4">
        <f t="shared" si="1"/>
        <v>4</v>
      </c>
      <c r="F11" s="4">
        <f t="shared" si="2"/>
        <v>1</v>
      </c>
      <c r="G11" t="b">
        <f t="shared" si="3"/>
        <v>0</v>
      </c>
    </row>
    <row r="12" spans="1:15" x14ac:dyDescent="0.25">
      <c r="A12" s="2" t="s">
        <v>9</v>
      </c>
      <c r="B12" s="7">
        <v>1399</v>
      </c>
      <c r="C12" s="6">
        <v>9</v>
      </c>
      <c r="D12" s="4">
        <f t="shared" si="0"/>
        <v>155</v>
      </c>
      <c r="E12" s="4">
        <f t="shared" si="1"/>
        <v>4</v>
      </c>
      <c r="F12" s="4">
        <f t="shared" si="2"/>
        <v>4</v>
      </c>
      <c r="G12" t="b">
        <f t="shared" si="3"/>
        <v>1</v>
      </c>
    </row>
    <row r="13" spans="1:15" x14ac:dyDescent="0.25">
      <c r="A13" s="2" t="s">
        <v>9</v>
      </c>
      <c r="B13" s="2">
        <v>1399</v>
      </c>
      <c r="C13" s="6">
        <v>12</v>
      </c>
      <c r="D13" s="4">
        <f t="shared" si="0"/>
        <v>116</v>
      </c>
      <c r="E13" s="4">
        <f t="shared" si="1"/>
        <v>7</v>
      </c>
      <c r="F13" s="4">
        <f t="shared" si="2"/>
        <v>4</v>
      </c>
      <c r="G13" t="b">
        <f t="shared" si="3"/>
        <v>0</v>
      </c>
    </row>
  </sheetData>
  <conditionalFormatting sqref="A1:F13 G1">
    <cfRule type="expression" dxfId="1" priority="2">
      <formula>$E1=$F1</formula>
    </cfRule>
  </conditionalFormatting>
  <conditionalFormatting sqref="J1:O1">
    <cfRule type="expression" dxfId="0" priority="1">
      <formula>$E1=$F1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2021-04-10T09:09:33Z</dcterms:created>
  <dcterms:modified xsi:type="dcterms:W3CDTF">2021-04-10T11:28:19Z</dcterms:modified>
</cp:coreProperties>
</file>