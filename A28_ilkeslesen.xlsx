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E1543608-4C59-4ED0-89B2-61A10784E64C}" xr6:coauthVersionLast="46" xr6:coauthVersionMax="46" xr10:uidLastSave="{00000000-0000-0000-0000-000000000000}"/>
  <bookViews>
    <workbookView xWindow="-120" yWindow="-120" windowWidth="24240" windowHeight="13140" xr2:uid="{104DC72D-C792-4426-AFEF-0925CD8E64CD}"/>
  </bookViews>
  <sheets>
    <sheet name="Sayfa1" sheetId="1" r:id="rId1"/>
    <sheet name="Sayfa2" sheetId="2" r:id="rId2"/>
    <sheet name="Sayf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  <c r="F14" i="2"/>
  <c r="F15" i="2"/>
  <c r="F12" i="2"/>
  <c r="F11" i="2"/>
  <c r="F10" i="2"/>
  <c r="F9" i="2"/>
  <c r="F8" i="2"/>
  <c r="F7" i="2"/>
  <c r="F6" i="2"/>
  <c r="F5" i="2"/>
  <c r="F4" i="2"/>
  <c r="F3" i="2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<sst xmlns="http://schemas.openxmlformats.org/spreadsheetml/2006/main" count="130" uniqueCount="57">
  <si>
    <t>Müşteri</t>
  </si>
  <si>
    <t>Üyelik Tipi</t>
  </si>
  <si>
    <t>Standart Fiyat</t>
  </si>
  <si>
    <t>Müşteri Fiyatı</t>
  </si>
  <si>
    <t>Ali</t>
  </si>
  <si>
    <t>Mustafa</t>
  </si>
  <si>
    <t>Ayşe</t>
  </si>
  <si>
    <t>Deniz</t>
  </si>
  <si>
    <t>Ege</t>
  </si>
  <si>
    <t>Duru</t>
  </si>
  <si>
    <t>Arzu</t>
  </si>
  <si>
    <t>Rıza</t>
  </si>
  <si>
    <t>Çoskun</t>
  </si>
  <si>
    <t>Hülya</t>
  </si>
  <si>
    <t>Classic</t>
  </si>
  <si>
    <t>Classic Plus</t>
  </si>
  <si>
    <t>Elite</t>
  </si>
  <si>
    <t>Elite Plus</t>
  </si>
  <si>
    <t>İndirim Oranı</t>
  </si>
  <si>
    <t>=İLKEŞLEŞEN(C3;"Classic";4%;"Classic Plus";6%;"Elite";10%;"Elite Plus";20%;"Üyelik Tipi Hatalı")</t>
  </si>
  <si>
    <t>Bilet Fiyatı</t>
  </si>
  <si>
    <t>=DÜŞEYARA(D3;İLKEŞLEŞEN(C3;"Classic";$L$2:$M$6;"Elite";$L$9:$M$13;"Elite Plus";$I$2:$J$6);2;1)</t>
  </si>
  <si>
    <t>Fatura Tarihi</t>
  </si>
  <si>
    <t>Satış Temsilcisi</t>
  </si>
  <si>
    <t>Ürün</t>
  </si>
  <si>
    <t>Firma Adı</t>
  </si>
  <si>
    <t>Fatura Tutarı</t>
  </si>
  <si>
    <t>Metin Şener</t>
  </si>
  <si>
    <t>B Ürün</t>
  </si>
  <si>
    <t>Net Ajans</t>
  </si>
  <si>
    <t>E Ürün</t>
  </si>
  <si>
    <t>Gökçe Yılmaz</t>
  </si>
  <si>
    <t>Gamax İnşaat Ltd.</t>
  </si>
  <si>
    <t>Can Demirci</t>
  </si>
  <si>
    <t>C Ürün</t>
  </si>
  <si>
    <t>İstanbul Moto Company</t>
  </si>
  <si>
    <t>Deniz Güzel</t>
  </si>
  <si>
    <t>TTT Rüzgar A.Ş</t>
  </si>
  <si>
    <t>NNN Enerji</t>
  </si>
  <si>
    <t>Yavuzalp Pekel</t>
  </si>
  <si>
    <t>XX Ürün</t>
  </si>
  <si>
    <t>ZER Bilgisayar Ltd. Şti.</t>
  </si>
  <si>
    <t>Jale Çeliker</t>
  </si>
  <si>
    <t>Arsani Plastik</t>
  </si>
  <si>
    <t>Filmond Baskı</t>
  </si>
  <si>
    <t>Akarsu Emlak Gayrimenkül</t>
  </si>
  <si>
    <t>Veli Yılmaz</t>
  </si>
  <si>
    <t>A Ürün</t>
  </si>
  <si>
    <t>Ekru Fren</t>
  </si>
  <si>
    <t>NTG Nakilyat A.Ş.</t>
  </si>
  <si>
    <t>Dönem</t>
  </si>
  <si>
    <t>=İLKEŞLEŞEN(AY(A2);1;"Q1";2;"Q1";3;"Q1";4;"Q2";5;"Q2";6;"Q2")</t>
  </si>
  <si>
    <t>=İLKEŞLEŞEN(AY(A2);1;"Q1";2;"Q1";3;"Q1";4;"Q2";5;"Q2";6;"Q2";7;"Q3";8;"Q3";9;"Q3";10;"Q4";11;"Q4";12;"Q4")</t>
  </si>
  <si>
    <t>=İLKEŞLEŞEN(AY(A2);1;"Q3";2;"Q3";3;"Q3";4;"Q4";5;"Q4";6;"Q4";7;"Q1";8;"Q1";9;"Q1";10;"Q2";11;"Q2";12;"Q2")</t>
  </si>
  <si>
    <t>Temmuz 1. Dönem</t>
  </si>
  <si>
    <t>1-2 Dönem</t>
  </si>
  <si>
    <t>Tamamı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</si>
</sst>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;\-[$€-2]\ #,##0.00"/>
    <numFmt numFmtId="165" formatCode="[$€-2]\ #,##0;\-[$€-2]\ #,##0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6" borderId="0" applyNumberFormat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0" fillId="0" borderId="2" xfId="0" applyBorder="1"/>
    <xf numFmtId="0" fontId="2" fillId="2" borderId="2" xfId="0" applyFont="1" applyFill="1" applyBorder="1" applyAlignment="1">
      <alignment vertical="center"/>
    </xf>
    <xf numFmtId="164" fontId="2" fillId="0" borderId="1" xfId="0" applyNumberFormat="1" applyFont="1" applyBorder="1"/>
    <xf numFmtId="9" fontId="2" fillId="2" borderId="2" xfId="1" applyFont="1" applyFill="1" applyBorder="1" applyAlignment="1">
      <alignment vertical="center"/>
    </xf>
    <xf numFmtId="9" fontId="0" fillId="0" borderId="2" xfId="1" applyFont="1" applyBorder="1"/>
    <xf numFmtId="9" fontId="0" fillId="0" borderId="1" xfId="1" applyFont="1" applyBorder="1"/>
    <xf numFmtId="0" fontId="2" fillId="0" borderId="0" xfId="0" quotePrefix="1" applyFont="1"/>
    <xf numFmtId="0" fontId="2" fillId="3" borderId="0" xfId="0" applyFont="1" applyFill="1" applyBorder="1" applyAlignment="1">
      <alignment vertical="center"/>
    </xf>
    <xf numFmtId="9" fontId="2" fillId="3" borderId="0" xfId="1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9" fontId="2" fillId="4" borderId="0" xfId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5" fontId="2" fillId="0" borderId="3" xfId="0" applyNumberFormat="1" applyFont="1" applyBorder="1"/>
    <xf numFmtId="165" fontId="2" fillId="0" borderId="2" xfId="0" applyNumberFormat="1" applyFont="1" applyBorder="1"/>
    <xf numFmtId="9" fontId="2" fillId="0" borderId="2" xfId="1" applyFont="1" applyBorder="1"/>
    <xf numFmtId="9" fontId="2" fillId="0" borderId="3" xfId="1" applyFont="1" applyBorder="1"/>
    <xf numFmtId="0" fontId="0" fillId="0" borderId="0" xfId="0" quotePrefix="1"/>
    <xf numFmtId="14" fontId="3" fillId="6" borderId="4" xfId="2" applyNumberFormat="1" applyBorder="1" applyAlignment="1">
      <alignment horizontal="center" vertical="center"/>
    </xf>
    <xf numFmtId="0" fontId="3" fillId="6" borderId="4" xfId="2" applyBorder="1" applyAlignment="1">
      <alignment horizontal="center" vertical="center"/>
    </xf>
    <xf numFmtId="0" fontId="3" fillId="6" borderId="4" xfId="2" applyBorder="1" applyAlignment="1">
      <alignment horizontal="left" vertical="center"/>
    </xf>
    <xf numFmtId="4" fontId="3" fillId="6" borderId="4" xfId="2" applyNumberFormat="1" applyBorder="1"/>
    <xf numFmtId="14" fontId="4" fillId="0" borderId="4" xfId="0" applyNumberFormat="1" applyFont="1" applyBorder="1" applyAlignment="1">
      <alignment horizontal="center"/>
    </xf>
    <xf numFmtId="0" fontId="4" fillId="0" borderId="4" xfId="0" applyFont="1" applyBorder="1"/>
    <xf numFmtId="0" fontId="5" fillId="0" borderId="4" xfId="0" applyFont="1" applyBorder="1"/>
    <xf numFmtId="4" fontId="0" fillId="0" borderId="4" xfId="0" applyNumberFormat="1" applyBorder="1"/>
    <xf numFmtId="0" fontId="6" fillId="0" borderId="4" xfId="0" applyFont="1" applyBorder="1" applyAlignment="1">
      <alignment horizontal="center"/>
    </xf>
  </cellXfs>
  <cellStyles count="3">
    <cellStyle name="Normal" xfId="0" builtinId="0"/>
    <cellStyle name="Vurgu1" xfId="2" builtinId="29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C97C-96CB-477B-A02E-1AF86647773B}">
  <sheetPr codeName="Sayfa1"/>
  <dimension ref="B2:M17"/>
  <sheetViews>
    <sheetView showGridLines="0" tabSelected="1" zoomScale="115" zoomScaleNormal="115" workbookViewId="0">
      <selection activeCell="C15" sqref="C15"/>
    </sheetView>
  </sheetViews>
  <sheetFormatPr defaultRowHeight="15" x14ac:dyDescent="0.25"/>
  <cols>
    <col min="1" max="1" width="2.5703125" customWidth="1"/>
    <col min="2" max="2" width="11.7109375" customWidth="1"/>
    <col min="3" max="3" width="11.5703125" customWidth="1"/>
    <col min="4" max="5" width="15" customWidth="1"/>
    <col min="6" max="6" width="15.28515625" customWidth="1"/>
    <col min="12" max="12" width="13" customWidth="1"/>
    <col min="13" max="13" width="12.85546875" bestFit="1" customWidth="1"/>
  </cols>
  <sheetData>
    <row r="2" spans="2:13" ht="18.75" customHeight="1" x14ac:dyDescent="0.25">
      <c r="B2" s="2" t="s">
        <v>0</v>
      </c>
      <c r="C2" s="2" t="s">
        <v>1</v>
      </c>
      <c r="D2" s="2" t="s">
        <v>2</v>
      </c>
      <c r="E2" s="2" t="s">
        <v>18</v>
      </c>
      <c r="F2" s="2" t="s">
        <v>3</v>
      </c>
      <c r="L2" s="4" t="s">
        <v>1</v>
      </c>
      <c r="M2" s="6" t="s">
        <v>18</v>
      </c>
    </row>
    <row r="3" spans="2:13" x14ac:dyDescent="0.25">
      <c r="B3" s="1" t="s">
        <v>4</v>
      </c>
      <c r="C3" s="1" t="s">
        <v>14</v>
      </c>
      <c r="D3" s="5">
        <v>300</v>
      </c>
      <c r="E3" s="8"/>
      <c r="F3" s="5">
        <f>D3*(1-E3)</f>
        <v>300</v>
      </c>
      <c r="L3" s="3" t="s">
        <v>14</v>
      </c>
      <c r="M3" s="7">
        <v>0.04</v>
      </c>
    </row>
    <row r="4" spans="2:13" x14ac:dyDescent="0.25">
      <c r="B4" s="1" t="s">
        <v>5</v>
      </c>
      <c r="C4" s="1" t="s">
        <v>17</v>
      </c>
      <c r="D4" s="5">
        <v>300</v>
      </c>
      <c r="E4" s="8"/>
      <c r="F4" s="5">
        <f t="shared" ref="F4:F12" si="0">D4*(1-E4)</f>
        <v>300</v>
      </c>
      <c r="L4" s="3" t="s">
        <v>15</v>
      </c>
      <c r="M4" s="7">
        <v>0.06</v>
      </c>
    </row>
    <row r="5" spans="2:13" x14ac:dyDescent="0.25">
      <c r="B5" s="1" t="s">
        <v>6</v>
      </c>
      <c r="C5" s="1" t="s">
        <v>14</v>
      </c>
      <c r="D5" s="5">
        <v>300</v>
      </c>
      <c r="E5" s="8"/>
      <c r="F5" s="5">
        <f t="shared" si="0"/>
        <v>300</v>
      </c>
      <c r="L5" s="3" t="s">
        <v>16</v>
      </c>
      <c r="M5" s="7">
        <v>0.1</v>
      </c>
    </row>
    <row r="6" spans="2:13" x14ac:dyDescent="0.25">
      <c r="B6" s="1" t="s">
        <v>7</v>
      </c>
      <c r="C6" s="1" t="s">
        <v>16</v>
      </c>
      <c r="D6" s="5">
        <v>300</v>
      </c>
      <c r="E6" s="8"/>
      <c r="F6" s="5">
        <f t="shared" si="0"/>
        <v>300</v>
      </c>
      <c r="L6" s="3" t="s">
        <v>17</v>
      </c>
      <c r="M6" s="7">
        <v>0.2</v>
      </c>
    </row>
    <row r="7" spans="2:13" x14ac:dyDescent="0.25">
      <c r="B7" s="1" t="s">
        <v>8</v>
      </c>
      <c r="C7" s="1" t="s">
        <v>15</v>
      </c>
      <c r="D7" s="5">
        <v>300</v>
      </c>
      <c r="E7" s="8"/>
      <c r="F7" s="5">
        <f t="shared" si="0"/>
        <v>300</v>
      </c>
    </row>
    <row r="8" spans="2:13" x14ac:dyDescent="0.25">
      <c r="B8" s="1" t="s">
        <v>9</v>
      </c>
      <c r="C8" s="1" t="s">
        <v>16</v>
      </c>
      <c r="D8" s="5">
        <v>300</v>
      </c>
      <c r="E8" s="8"/>
      <c r="F8" s="5">
        <f t="shared" si="0"/>
        <v>300</v>
      </c>
    </row>
    <row r="9" spans="2:13" x14ac:dyDescent="0.25">
      <c r="B9" s="1" t="s">
        <v>10</v>
      </c>
      <c r="C9" s="1" t="s">
        <v>17</v>
      </c>
      <c r="D9" s="5">
        <v>300</v>
      </c>
      <c r="E9" s="8"/>
      <c r="F9" s="5">
        <f t="shared" si="0"/>
        <v>300</v>
      </c>
    </row>
    <row r="10" spans="2:13" x14ac:dyDescent="0.25">
      <c r="B10" s="1" t="s">
        <v>11</v>
      </c>
      <c r="C10" s="1" t="s">
        <v>15</v>
      </c>
      <c r="D10" s="5">
        <v>300</v>
      </c>
      <c r="E10" s="8"/>
      <c r="F10" s="5">
        <f t="shared" si="0"/>
        <v>300</v>
      </c>
    </row>
    <row r="11" spans="2:13" x14ac:dyDescent="0.25">
      <c r="B11" s="1" t="s">
        <v>12</v>
      </c>
      <c r="C11" s="1" t="s">
        <v>15</v>
      </c>
      <c r="D11" s="5">
        <v>300</v>
      </c>
      <c r="E11" s="8"/>
      <c r="F11" s="5">
        <f t="shared" si="0"/>
        <v>300</v>
      </c>
    </row>
    <row r="12" spans="2:13" x14ac:dyDescent="0.25">
      <c r="B12" s="1" t="s">
        <v>13</v>
      </c>
      <c r="C12" s="1" t="s">
        <v>17</v>
      </c>
      <c r="D12" s="5">
        <v>300</v>
      </c>
      <c r="E12" s="8"/>
      <c r="F12" s="5">
        <f t="shared" si="0"/>
        <v>300</v>
      </c>
    </row>
    <row r="17" spans="5:5" x14ac:dyDescent="0.25">
      <c r="E17" s="9" t="s">
        <v>19</v>
      </c>
    </row>
  </sheetData>
  <dataValidations disablePrompts="1" count="1">
    <dataValidation type="list" allowBlank="1" showInputMessage="1" showErrorMessage="1" sqref="C3:C12" xr:uid="{7C221D9A-360F-4158-973B-7C2C9CE310F8}">
      <formula1>$L$3:$L$6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36C8-911B-4102-9E17-A100697A4FE3}">
  <sheetPr codeName="Sayfa2"/>
  <dimension ref="B2:M19"/>
  <sheetViews>
    <sheetView showGridLines="0" zoomScale="115" zoomScaleNormal="115" workbookViewId="0">
      <selection activeCell="E7" sqref="E7"/>
    </sheetView>
  </sheetViews>
  <sheetFormatPr defaultRowHeight="15" x14ac:dyDescent="0.25"/>
  <cols>
    <col min="1" max="1" width="2.5703125" customWidth="1"/>
    <col min="2" max="2" width="11.7109375" customWidth="1"/>
    <col min="3" max="3" width="11.5703125" customWidth="1"/>
    <col min="4" max="5" width="15" customWidth="1"/>
    <col min="6" max="6" width="15.28515625" customWidth="1"/>
    <col min="9" max="9" width="10.42578125" bestFit="1" customWidth="1"/>
    <col min="10" max="10" width="12.85546875" bestFit="1" customWidth="1"/>
    <col min="12" max="12" width="11.7109375" bestFit="1" customWidth="1"/>
    <col min="13" max="13" width="12.85546875" bestFit="1" customWidth="1"/>
  </cols>
  <sheetData>
    <row r="2" spans="2:13" ht="18.75" customHeight="1" x14ac:dyDescent="0.25">
      <c r="B2" s="14" t="s">
        <v>0</v>
      </c>
      <c r="C2" s="14" t="s">
        <v>1</v>
      </c>
      <c r="D2" s="14" t="s">
        <v>20</v>
      </c>
      <c r="E2" s="14" t="s">
        <v>18</v>
      </c>
      <c r="F2" s="14" t="s">
        <v>3</v>
      </c>
      <c r="I2" s="4" t="s">
        <v>17</v>
      </c>
      <c r="J2" s="6" t="s">
        <v>18</v>
      </c>
      <c r="L2" s="10" t="s">
        <v>14</v>
      </c>
      <c r="M2" s="11" t="s">
        <v>18</v>
      </c>
    </row>
    <row r="3" spans="2:13" x14ac:dyDescent="0.25">
      <c r="B3" s="1" t="s">
        <v>4</v>
      </c>
      <c r="C3" s="1" t="s">
        <v>14</v>
      </c>
      <c r="D3" s="5">
        <v>300</v>
      </c>
      <c r="E3" s="8"/>
      <c r="F3" s="5">
        <f>D3*(1-E3)</f>
        <v>300</v>
      </c>
      <c r="I3" s="15">
        <v>0</v>
      </c>
      <c r="J3" s="17">
        <v>0.05</v>
      </c>
      <c r="L3" s="15">
        <v>0</v>
      </c>
      <c r="M3" s="18">
        <v>0</v>
      </c>
    </row>
    <row r="4" spans="2:13" x14ac:dyDescent="0.25">
      <c r="B4" s="1" t="s">
        <v>5</v>
      </c>
      <c r="C4" s="1" t="s">
        <v>17</v>
      </c>
      <c r="D4" s="5">
        <v>500</v>
      </c>
      <c r="E4" s="8"/>
      <c r="F4" s="5">
        <f t="shared" ref="F4:F12" si="0">D4*(1-E4)</f>
        <v>500</v>
      </c>
      <c r="I4" s="16">
        <v>400</v>
      </c>
      <c r="J4" s="17">
        <v>0.1</v>
      </c>
      <c r="L4" s="16">
        <v>200</v>
      </c>
      <c r="M4" s="17">
        <v>0.04</v>
      </c>
    </row>
    <row r="5" spans="2:13" x14ac:dyDescent="0.25">
      <c r="B5" s="1" t="s">
        <v>6</v>
      </c>
      <c r="C5" s="1" t="s">
        <v>14</v>
      </c>
      <c r="D5" s="5">
        <v>100</v>
      </c>
      <c r="E5" s="8"/>
      <c r="F5" s="5">
        <f t="shared" si="0"/>
        <v>100</v>
      </c>
      <c r="I5" s="16">
        <v>600</v>
      </c>
      <c r="J5" s="17">
        <v>0.15</v>
      </c>
      <c r="L5" s="16">
        <v>600</v>
      </c>
      <c r="M5" s="17">
        <v>0.06</v>
      </c>
    </row>
    <row r="6" spans="2:13" x14ac:dyDescent="0.25">
      <c r="B6" s="1" t="s">
        <v>7</v>
      </c>
      <c r="C6" s="1" t="s">
        <v>16</v>
      </c>
      <c r="D6" s="5">
        <v>900</v>
      </c>
      <c r="E6" s="8"/>
      <c r="F6" s="5">
        <f t="shared" si="0"/>
        <v>900</v>
      </c>
      <c r="I6" s="16">
        <v>1000</v>
      </c>
      <c r="J6" s="17">
        <v>0.25</v>
      </c>
      <c r="L6" s="16">
        <v>1000</v>
      </c>
      <c r="M6" s="17">
        <v>0.1</v>
      </c>
    </row>
    <row r="7" spans="2:13" x14ac:dyDescent="0.25">
      <c r="B7" s="1" t="s">
        <v>8</v>
      </c>
      <c r="C7" s="1" t="s">
        <v>16</v>
      </c>
      <c r="D7" s="5">
        <v>300</v>
      </c>
      <c r="E7" s="8"/>
      <c r="F7" s="5">
        <f t="shared" si="0"/>
        <v>300</v>
      </c>
    </row>
    <row r="8" spans="2:13" x14ac:dyDescent="0.25">
      <c r="B8" s="1" t="s">
        <v>9</v>
      </c>
      <c r="C8" s="1" t="s">
        <v>16</v>
      </c>
      <c r="D8" s="5">
        <v>100</v>
      </c>
      <c r="E8" s="8"/>
      <c r="F8" s="5">
        <f t="shared" si="0"/>
        <v>100</v>
      </c>
    </row>
    <row r="9" spans="2:13" x14ac:dyDescent="0.25">
      <c r="B9" s="1" t="s">
        <v>10</v>
      </c>
      <c r="C9" s="1" t="s">
        <v>17</v>
      </c>
      <c r="D9" s="5">
        <v>300</v>
      </c>
      <c r="E9" s="8"/>
      <c r="F9" s="5">
        <f t="shared" si="0"/>
        <v>300</v>
      </c>
      <c r="L9" s="12" t="s">
        <v>16</v>
      </c>
      <c r="M9" s="13" t="s">
        <v>18</v>
      </c>
    </row>
    <row r="10" spans="2:13" x14ac:dyDescent="0.25">
      <c r="B10" s="1" t="s">
        <v>11</v>
      </c>
      <c r="C10" s="1" t="s">
        <v>14</v>
      </c>
      <c r="D10" s="5">
        <v>300</v>
      </c>
      <c r="E10" s="8"/>
      <c r="F10" s="5">
        <f t="shared" si="0"/>
        <v>300</v>
      </c>
      <c r="L10" s="15">
        <v>0</v>
      </c>
      <c r="M10" s="18">
        <v>0.04</v>
      </c>
    </row>
    <row r="11" spans="2:13" x14ac:dyDescent="0.25">
      <c r="B11" s="1" t="s">
        <v>12</v>
      </c>
      <c r="C11" s="1" t="s">
        <v>16</v>
      </c>
      <c r="D11" s="5">
        <v>850</v>
      </c>
      <c r="E11" s="8"/>
      <c r="F11" s="5">
        <f t="shared" si="0"/>
        <v>850</v>
      </c>
      <c r="L11" s="16">
        <v>200</v>
      </c>
      <c r="M11" s="17">
        <v>0.08</v>
      </c>
    </row>
    <row r="12" spans="2:13" x14ac:dyDescent="0.25">
      <c r="B12" s="1" t="s">
        <v>13</v>
      </c>
      <c r="C12" s="1" t="s">
        <v>17</v>
      </c>
      <c r="D12" s="5">
        <v>1100</v>
      </c>
      <c r="E12" s="8"/>
      <c r="F12" s="5">
        <f t="shared" si="0"/>
        <v>1100</v>
      </c>
      <c r="L12" s="16">
        <v>600</v>
      </c>
      <c r="M12" s="17">
        <v>0.12</v>
      </c>
    </row>
    <row r="13" spans="2:13" x14ac:dyDescent="0.25">
      <c r="B13" s="1" t="s">
        <v>11</v>
      </c>
      <c r="C13" s="1" t="s">
        <v>14</v>
      </c>
      <c r="D13" s="5">
        <v>1550</v>
      </c>
      <c r="E13" s="8"/>
      <c r="F13" s="5">
        <f t="shared" ref="F13:F15" si="1">D13*(1-E13)</f>
        <v>1550</v>
      </c>
      <c r="L13" s="16">
        <v>1000</v>
      </c>
      <c r="M13" s="17">
        <v>0.15</v>
      </c>
    </row>
    <row r="14" spans="2:13" x14ac:dyDescent="0.25">
      <c r="B14" s="1" t="s">
        <v>12</v>
      </c>
      <c r="C14" s="1" t="s">
        <v>16</v>
      </c>
      <c r="D14" s="5">
        <v>1950</v>
      </c>
      <c r="E14" s="8"/>
      <c r="F14" s="5">
        <f t="shared" si="1"/>
        <v>1950</v>
      </c>
    </row>
    <row r="15" spans="2:13" x14ac:dyDescent="0.25">
      <c r="B15" s="1" t="s">
        <v>13</v>
      </c>
      <c r="C15" s="1" t="s">
        <v>17</v>
      </c>
      <c r="D15" s="5">
        <v>2350</v>
      </c>
      <c r="E15" s="8"/>
      <c r="F15" s="5">
        <f t="shared" si="1"/>
        <v>2350</v>
      </c>
    </row>
    <row r="16" spans="2:13" x14ac:dyDescent="0.25">
      <c r="E16" s="9"/>
    </row>
    <row r="19" spans="5:5" x14ac:dyDescent="0.25">
      <c r="E19" s="19" t="s">
        <v>21</v>
      </c>
    </row>
  </sheetData>
  <dataValidations disablePrompts="1" count="1">
    <dataValidation type="list" allowBlank="1" showInputMessage="1" showErrorMessage="1" sqref="C3:C15" xr:uid="{F9B2DC76-0387-4F4E-9244-B556D337F289}">
      <formula1>$L$3:$L$5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D081-8B3D-45C6-A262-55E10FDECDCD}">
  <dimension ref="A1:F22"/>
  <sheetViews>
    <sheetView showGridLines="0" zoomScale="115" zoomScaleNormal="115" workbookViewId="0">
      <selection activeCell="H3" sqref="H3"/>
    </sheetView>
  </sheetViews>
  <sheetFormatPr defaultRowHeight="15" x14ac:dyDescent="0.25"/>
  <cols>
    <col min="1" max="1" width="12" bestFit="1" customWidth="1"/>
    <col min="2" max="2" width="17.85546875" bestFit="1" customWidth="1"/>
    <col min="3" max="3" width="10.5703125" customWidth="1"/>
    <col min="4" max="4" width="24.85546875" bestFit="1" customWidth="1"/>
    <col min="5" max="5" width="17.7109375" bestFit="1" customWidth="1"/>
    <col min="6" max="6" width="9.28515625" customWidth="1"/>
  </cols>
  <sheetData>
    <row r="1" spans="1:6" x14ac:dyDescent="0.25">
      <c r="A1" s="20" t="s">
        <v>22</v>
      </c>
      <c r="B1" s="21" t="s">
        <v>23</v>
      </c>
      <c r="C1" s="21" t="s">
        <v>24</v>
      </c>
      <c r="D1" s="22" t="s">
        <v>25</v>
      </c>
      <c r="E1" s="23" t="s">
        <v>26</v>
      </c>
      <c r="F1" s="21" t="s">
        <v>50</v>
      </c>
    </row>
    <row r="2" spans="1:6" x14ac:dyDescent="0.25">
      <c r="A2" s="24">
        <v>43832</v>
      </c>
      <c r="B2" s="25" t="s">
        <v>27</v>
      </c>
      <c r="C2" s="25" t="s">
        <v>28</v>
      </c>
      <c r="D2" s="26" t="s">
        <v>29</v>
      </c>
      <c r="E2" s="27">
        <v>7247.1544715447153</v>
      </c>
      <c r="F2" s="28"/>
    </row>
    <row r="3" spans="1:6" x14ac:dyDescent="0.25">
      <c r="A3" s="24">
        <v>43847</v>
      </c>
      <c r="B3" s="25" t="s">
        <v>31</v>
      </c>
      <c r="C3" s="25" t="s">
        <v>30</v>
      </c>
      <c r="D3" s="26" t="s">
        <v>35</v>
      </c>
      <c r="E3" s="27">
        <v>7243.9024390243903</v>
      </c>
      <c r="F3" s="28"/>
    </row>
    <row r="4" spans="1:6" x14ac:dyDescent="0.25">
      <c r="A4" s="24">
        <v>43852</v>
      </c>
      <c r="B4" s="25" t="s">
        <v>31</v>
      </c>
      <c r="C4" s="25" t="s">
        <v>28</v>
      </c>
      <c r="D4" s="26" t="s">
        <v>45</v>
      </c>
      <c r="E4" s="27">
        <v>2381.3008130081303</v>
      </c>
      <c r="F4" s="28"/>
    </row>
    <row r="5" spans="1:6" x14ac:dyDescent="0.25">
      <c r="A5" s="24">
        <v>43862</v>
      </c>
      <c r="B5" s="25" t="s">
        <v>42</v>
      </c>
      <c r="C5" s="25" t="s">
        <v>30</v>
      </c>
      <c r="D5" s="26" t="s">
        <v>41</v>
      </c>
      <c r="E5" s="27">
        <v>2117.0731707317073</v>
      </c>
      <c r="F5" s="28"/>
    </row>
    <row r="6" spans="1:6" x14ac:dyDescent="0.25">
      <c r="A6" s="24">
        <v>43862</v>
      </c>
      <c r="B6" s="25" t="s">
        <v>39</v>
      </c>
      <c r="C6" s="25" t="s">
        <v>47</v>
      </c>
      <c r="D6" s="26" t="s">
        <v>41</v>
      </c>
      <c r="E6" s="27">
        <v>7913.8211382113823</v>
      </c>
      <c r="F6" s="28"/>
    </row>
    <row r="7" spans="1:6" x14ac:dyDescent="0.25">
      <c r="A7" s="24">
        <v>43868</v>
      </c>
      <c r="B7" s="25" t="s">
        <v>31</v>
      </c>
      <c r="C7" s="25" t="s">
        <v>47</v>
      </c>
      <c r="D7" s="26" t="s">
        <v>43</v>
      </c>
      <c r="E7" s="27">
        <v>978.86178861788619</v>
      </c>
      <c r="F7" s="28"/>
    </row>
    <row r="8" spans="1:6" x14ac:dyDescent="0.25">
      <c r="A8" s="24">
        <v>43893</v>
      </c>
      <c r="B8" s="25" t="s">
        <v>31</v>
      </c>
      <c r="C8" s="25" t="s">
        <v>34</v>
      </c>
      <c r="D8" s="26" t="s">
        <v>41</v>
      </c>
      <c r="E8" s="27">
        <v>7270.7317073170734</v>
      </c>
      <c r="F8" s="28"/>
    </row>
    <row r="9" spans="1:6" x14ac:dyDescent="0.25">
      <c r="A9" s="24">
        <v>43906</v>
      </c>
      <c r="B9" s="25" t="s">
        <v>27</v>
      </c>
      <c r="C9" s="25" t="s">
        <v>30</v>
      </c>
      <c r="D9" s="26" t="s">
        <v>41</v>
      </c>
      <c r="E9" s="27">
        <v>6625.2032520325201</v>
      </c>
      <c r="F9" s="28"/>
    </row>
    <row r="10" spans="1:6" x14ac:dyDescent="0.25">
      <c r="A10" s="24">
        <v>43920</v>
      </c>
      <c r="B10" s="25" t="s">
        <v>36</v>
      </c>
      <c r="C10" s="25" t="s">
        <v>30</v>
      </c>
      <c r="D10" s="26" t="s">
        <v>38</v>
      </c>
      <c r="E10" s="27">
        <v>3540.6504065040649</v>
      </c>
      <c r="F10" s="28"/>
    </row>
    <row r="11" spans="1:6" x14ac:dyDescent="0.25">
      <c r="A11" s="24">
        <v>43936</v>
      </c>
      <c r="B11" s="25" t="s">
        <v>46</v>
      </c>
      <c r="C11" s="25" t="s">
        <v>30</v>
      </c>
      <c r="D11" s="26" t="s">
        <v>49</v>
      </c>
      <c r="E11" s="27">
        <v>6650.4065040650412</v>
      </c>
      <c r="F11" s="28"/>
    </row>
    <row r="12" spans="1:6" x14ac:dyDescent="0.25">
      <c r="A12" s="24">
        <v>43943</v>
      </c>
      <c r="B12" s="25" t="s">
        <v>36</v>
      </c>
      <c r="C12" s="25" t="s">
        <v>28</v>
      </c>
      <c r="D12" s="26" t="s">
        <v>48</v>
      </c>
      <c r="E12" s="27">
        <v>3438.2113821138214</v>
      </c>
      <c r="F12" s="28"/>
    </row>
    <row r="13" spans="1:6" x14ac:dyDescent="0.25">
      <c r="A13" s="24">
        <v>43967</v>
      </c>
      <c r="B13" s="25" t="s">
        <v>31</v>
      </c>
      <c r="C13" s="25" t="s">
        <v>34</v>
      </c>
      <c r="D13" s="26" t="s">
        <v>44</v>
      </c>
      <c r="E13" s="27">
        <v>2071.5447154471544</v>
      </c>
      <c r="F13" s="28"/>
    </row>
    <row r="14" spans="1:6" x14ac:dyDescent="0.25">
      <c r="A14" s="24">
        <v>43973</v>
      </c>
      <c r="B14" s="25" t="s">
        <v>39</v>
      </c>
      <c r="C14" s="25" t="s">
        <v>47</v>
      </c>
      <c r="D14" s="26" t="s">
        <v>41</v>
      </c>
      <c r="E14" s="27">
        <v>4242.2764227642274</v>
      </c>
      <c r="F14" s="28"/>
    </row>
    <row r="15" spans="1:6" x14ac:dyDescent="0.25">
      <c r="A15" s="24">
        <v>43991</v>
      </c>
      <c r="B15" s="25" t="s">
        <v>36</v>
      </c>
      <c r="C15" s="25" t="s">
        <v>40</v>
      </c>
      <c r="D15" s="26" t="s">
        <v>37</v>
      </c>
      <c r="E15" s="27">
        <v>5566.666666666667</v>
      </c>
      <c r="F15" s="28"/>
    </row>
    <row r="16" spans="1:6" x14ac:dyDescent="0.25">
      <c r="A16" s="24">
        <v>43999</v>
      </c>
      <c r="B16" s="25" t="s">
        <v>33</v>
      </c>
      <c r="C16" s="25" t="s">
        <v>40</v>
      </c>
      <c r="D16" s="26" t="s">
        <v>32</v>
      </c>
      <c r="E16" s="27">
        <v>7752.0325203252032</v>
      </c>
      <c r="F16" s="28"/>
    </row>
    <row r="17" spans="1:6" x14ac:dyDescent="0.25">
      <c r="A17" s="24">
        <v>44004</v>
      </c>
      <c r="B17" s="25" t="s">
        <v>36</v>
      </c>
      <c r="C17" s="25" t="s">
        <v>40</v>
      </c>
      <c r="D17" s="26" t="s">
        <v>29</v>
      </c>
      <c r="E17" s="27">
        <v>1015.4471544715448</v>
      </c>
      <c r="F17" s="28"/>
    </row>
    <row r="20" spans="1:6" x14ac:dyDescent="0.25">
      <c r="E20" t="s">
        <v>55</v>
      </c>
      <c r="F20" s="19" t="s">
        <v>51</v>
      </c>
    </row>
    <row r="21" spans="1:6" x14ac:dyDescent="0.25">
      <c r="E21" t="s">
        <v>56</v>
      </c>
      <c r="F21" s="19" t="s">
        <v>52</v>
      </c>
    </row>
    <row r="22" spans="1:6" x14ac:dyDescent="0.25">
      <c r="E22" t="s">
        <v>54</v>
      </c>
      <c r="F22" s="19" t="s">
        <v>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2021-04-07T10:27:20Z</dcterms:created>
  <dcterms:modified xsi:type="dcterms:W3CDTF">2021-04-07T15:09:44Z</dcterms:modified>
</cp:coreProperties>
</file>