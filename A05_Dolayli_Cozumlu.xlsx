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8_{C5606736-06D7-41D3-B08B-1E4BCCB8781E}" xr6:coauthVersionLast="46" xr6:coauthVersionMax="46" xr10:uidLastSave="{00000000-0000-0000-0000-000000000000}"/>
  <bookViews>
    <workbookView xWindow="-120" yWindow="-120" windowWidth="24240" windowHeight="13140" xr2:uid="{C1100E5B-B10A-4C63-8C16-E1D89B295614}"/>
  </bookViews>
  <sheets>
    <sheet name="GENEL_TOPLAM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F1" i="1" s="1"/>
  <c r="G1" i="1" s="1"/>
  <c r="H1" i="1" s="1"/>
  <c r="I1" i="1" s="1"/>
  <c r="J1" i="1" s="1"/>
  <c r="K1" i="1" s="1"/>
  <c r="C1" i="1"/>
  <c r="D10" i="2"/>
  <c r="B10" i="4"/>
  <c r="B10" i="5"/>
  <c r="B10" i="6"/>
  <c r="B10" i="7"/>
  <c r="B10" i="8"/>
  <c r="B10" i="9"/>
  <c r="B10" i="10"/>
  <c r="B10" i="11"/>
  <c r="B10" i="3"/>
  <c r="B10" i="2"/>
  <c r="B1" i="4"/>
  <c r="B1" i="5"/>
  <c r="B1" i="6"/>
  <c r="B1" i="7"/>
  <c r="B1" i="8"/>
  <c r="B1" i="9"/>
  <c r="B1" i="10"/>
  <c r="B1" i="11"/>
  <c r="B1" i="3"/>
  <c r="B1" i="2"/>
  <c r="C3" i="1" a="1"/>
  <c r="E3" i="1" a="1"/>
  <c r="G3" i="1" a="1"/>
  <c r="I3" i="1" a="1"/>
  <c r="K3" i="1" a="1"/>
  <c r="D3" i="1" a="1"/>
  <c r="F3" i="1" a="1"/>
  <c r="H3" i="1" a="1"/>
  <c r="J3" i="1" a="1"/>
  <c r="B3" i="1" a="1"/>
  <c r="K2" i="1" a="1"/>
  <c r="D2" i="1" a="1"/>
  <c r="F2" i="1" a="1"/>
  <c r="H2" i="1" a="1"/>
  <c r="J2" i="1" a="1"/>
  <c r="I2" i="1" a="1"/>
  <c r="E2" i="1" a="1"/>
  <c r="G2" i="1" a="1"/>
  <c r="C2" i="1" a="1"/>
  <c r="B2" i="1" a="1"/>
  <c r="J3" i="1" l="1"/>
  <c r="H3" i="1"/>
  <c r="F3" i="1"/>
  <c r="D3" i="1"/>
  <c r="K3" i="1"/>
  <c r="I3" i="1"/>
  <c r="G3" i="1"/>
  <c r="E3" i="1"/>
  <c r="C3" i="1"/>
  <c r="B3" i="1"/>
  <c r="K2" i="1"/>
  <c r="K4" i="1" s="1"/>
  <c r="G2" i="1"/>
  <c r="G4" i="1" s="1"/>
  <c r="E2" i="1"/>
  <c r="I2" i="1"/>
  <c r="I4" i="1" s="1"/>
  <c r="J2" i="1"/>
  <c r="J4" i="1" s="1"/>
  <c r="H2" i="1"/>
  <c r="H4" i="1" s="1"/>
  <c r="F2" i="1"/>
  <c r="D2" i="1"/>
  <c r="C2" i="1"/>
  <c r="C4" i="1" s="1"/>
  <c r="B2" i="1"/>
  <c r="M2" i="1" s="1"/>
  <c r="D10" i="5"/>
  <c r="D10" i="9"/>
  <c r="D10" i="4"/>
  <c r="D10" i="11"/>
  <c r="D10" i="7"/>
  <c r="D10" i="3"/>
  <c r="D10" i="10"/>
  <c r="D10" i="8"/>
  <c r="D10" i="6"/>
  <c r="M3" i="1" l="1"/>
  <c r="B4" i="1"/>
  <c r="M4" i="1" s="1"/>
  <c r="F4" i="1"/>
  <c r="D4" i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<sst xmlns="http://schemas.openxmlformats.org/spreadsheetml/2006/main" count="94" uniqueCount="11">
  <si>
    <t>VAN</t>
  </si>
  <si>
    <t>ANTALYA</t>
  </si>
  <si>
    <t>SAMSUN</t>
  </si>
  <si>
    <t>ARTVİN</t>
  </si>
  <si>
    <t>AĞRI</t>
  </si>
  <si>
    <t>BURDUR</t>
  </si>
  <si>
    <t>UŞAK</t>
  </si>
  <si>
    <t>TOPLAM</t>
  </si>
  <si>
    <t>GENEL TOPLAM</t>
  </si>
  <si>
    <t>HARCAMALAR</t>
  </si>
  <si>
    <t>KALAN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</si>
</sst>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\ &quot;TL&quot;_-;\-* #,##0\ &quot;TL&quot;_-;_-* &quot;-&quot;??\ &quot;TL&quot;_-;_-@_-"/>
    <numFmt numFmtId="167" formatCode="_-* #,##0_-;\-* #,##0_-;_-* &quot;-&quot;??_-;_-@_-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indexed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164" fontId="0" fillId="0" borderId="0" xfId="1" applyNumberFormat="1" applyFont="1"/>
    <xf numFmtId="0" fontId="2" fillId="0" borderId="1" xfId="0" applyFont="1" applyBorder="1"/>
    <xf numFmtId="14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/>
    <xf numFmtId="164" fontId="3" fillId="0" borderId="1" xfId="1" applyNumberFormat="1" applyFont="1" applyBorder="1"/>
    <xf numFmtId="0" fontId="2" fillId="3" borderId="1" xfId="0" applyFont="1" applyFill="1" applyBorder="1"/>
    <xf numFmtId="0" fontId="2" fillId="2" borderId="1" xfId="0" applyFont="1" applyFill="1" applyBorder="1"/>
    <xf numFmtId="167" fontId="2" fillId="0" borderId="1" xfId="2" applyNumberFormat="1" applyFont="1" applyBorder="1" applyAlignment="1">
      <alignment horizontal="center" vertical="center"/>
    </xf>
    <xf numFmtId="167" fontId="0" fillId="3" borderId="1" xfId="2" applyNumberFormat="1" applyFont="1" applyFill="1" applyBorder="1" applyAlignment="1">
      <alignment horizontal="center" vertical="center"/>
    </xf>
    <xf numFmtId="167" fontId="0" fillId="2" borderId="1" xfId="2" applyNumberFormat="1" applyFont="1" applyFill="1" applyBorder="1" applyAlignment="1">
      <alignment horizontal="center" vertical="center"/>
    </xf>
  </cellXfs>
  <cellStyles count="3">
    <cellStyle name="Normal" xfId="0" builtinId="0"/>
    <cellStyle name="ParaBirimi" xfId="1" builtinId="4"/>
    <cellStyle name="Virgü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81B7-89B7-4ADC-87B7-89A58AC0963F}">
  <dimension ref="A1:M11"/>
  <sheetViews>
    <sheetView showGridLines="0" tabSelected="1" zoomScale="130" zoomScaleNormal="130" workbookViewId="0">
      <selection activeCell="K6" sqref="K6"/>
    </sheetView>
  </sheetViews>
  <sheetFormatPr defaultRowHeight="15" x14ac:dyDescent="0.25"/>
  <cols>
    <col min="1" max="1" width="14.85546875" bestFit="1" customWidth="1"/>
    <col min="2" max="11" width="12.85546875" style="1" customWidth="1"/>
    <col min="13" max="13" width="9.42578125" bestFit="1" customWidth="1"/>
  </cols>
  <sheetData>
    <row r="1" spans="1:13" ht="17.25" customHeight="1" x14ac:dyDescent="0.25">
      <c r="A1" s="6"/>
      <c r="B1" s="7">
        <v>44287</v>
      </c>
      <c r="C1" s="7">
        <f>B1+1</f>
        <v>44288</v>
      </c>
      <c r="D1" s="7">
        <f t="shared" ref="D1:K1" si="0">C1+1</f>
        <v>44289</v>
      </c>
      <c r="E1" s="7">
        <f t="shared" si="0"/>
        <v>44290</v>
      </c>
      <c r="F1" s="7">
        <f t="shared" si="0"/>
        <v>44291</v>
      </c>
      <c r="G1" s="7">
        <f t="shared" si="0"/>
        <v>44292</v>
      </c>
      <c r="H1" s="7">
        <f t="shared" si="0"/>
        <v>44293</v>
      </c>
      <c r="I1" s="7">
        <f t="shared" si="0"/>
        <v>44294</v>
      </c>
      <c r="J1" s="7">
        <f t="shared" si="0"/>
        <v>44295</v>
      </c>
      <c r="K1" s="7">
        <f t="shared" si="0"/>
        <v>44296</v>
      </c>
      <c r="M1" s="2" t="s">
        <v>7</v>
      </c>
    </row>
    <row r="2" spans="1:13" x14ac:dyDescent="0.25">
      <c r="A2" s="6" t="s">
        <v>8</v>
      </c>
      <c r="B2" s="12" cm="1">
        <f t="array" aca="1" ref="B2" ca="1">INDIRECT("'" &amp; DAY(B1) &amp;"'!B10")</f>
        <v>10600</v>
      </c>
      <c r="C2" s="12" cm="1">
        <f t="array" aca="1" ref="C2" ca="1">INDIRECT("'" &amp; DAY(C1) &amp;"'!B10")</f>
        <v>10300</v>
      </c>
      <c r="D2" s="12" cm="1">
        <f t="array" aca="1" ref="D2" ca="1">INDIRECT("'" &amp; DAY(D1) &amp;"'!B10")</f>
        <v>9700</v>
      </c>
      <c r="E2" s="12" cm="1">
        <f t="array" aca="1" ref="E2" ca="1">INDIRECT("'" &amp; DAY(E1) &amp;"'!B10")</f>
        <v>10600</v>
      </c>
      <c r="F2" s="12" cm="1">
        <f t="array" aca="1" ref="F2" ca="1">INDIRECT("'" &amp; DAY(F1) &amp;"'!B10")</f>
        <v>10400</v>
      </c>
      <c r="G2" s="12" cm="1">
        <f t="array" aca="1" ref="G2" ca="1">INDIRECT("'" &amp; DAY(G1) &amp;"'!B10")</f>
        <v>10900</v>
      </c>
      <c r="H2" s="12" cm="1">
        <f t="array" aca="1" ref="H2" ca="1">INDIRECT("'" &amp; DAY(H1) &amp;"'!B10")</f>
        <v>9000</v>
      </c>
      <c r="I2" s="12" cm="1">
        <f t="array" aca="1" ref="I2" ca="1">INDIRECT("'" &amp; DAY(I1) &amp;"'!B10")</f>
        <v>10300</v>
      </c>
      <c r="J2" s="12" cm="1">
        <f t="array" aca="1" ref="J2" ca="1">INDIRECT("'" &amp; DAY(J1) &amp;"'!B10")</f>
        <v>9800</v>
      </c>
      <c r="K2" s="12" cm="1">
        <f t="array" aca="1" ref="K2" ca="1">INDIRECT("'" &amp; DAY(K1) &amp;"'!B10")</f>
        <v>12100</v>
      </c>
      <c r="M2" s="12">
        <f t="shared" ref="M2:M4" ca="1" si="1">SUM(B2:L2)</f>
        <v>103700</v>
      </c>
    </row>
    <row r="3" spans="1:13" x14ac:dyDescent="0.25">
      <c r="A3" s="10" t="s">
        <v>9</v>
      </c>
      <c r="B3" s="13" cm="1">
        <f t="array" aca="1" ref="B3" ca="1">INDIRECT("'" &amp; DAY(B1) &amp;"'!D10")</f>
        <v>2200</v>
      </c>
      <c r="C3" s="13" cm="1">
        <f t="array" aca="1" ref="C3" ca="1">INDIRECT("'" &amp; DAY(C1) &amp;"'!D10")</f>
        <v>1700</v>
      </c>
      <c r="D3" s="13" cm="1">
        <f t="array" aca="1" ref="D3" ca="1">INDIRECT("'" &amp; DAY(D1) &amp;"'!D10")</f>
        <v>1500</v>
      </c>
      <c r="E3" s="13" cm="1">
        <f t="array" aca="1" ref="E3" ca="1">INDIRECT("'" &amp; DAY(E1) &amp;"'!D10")</f>
        <v>2200</v>
      </c>
      <c r="F3" s="13" cm="1">
        <f t="array" aca="1" ref="F3" ca="1">INDIRECT("'" &amp; DAY(F1) &amp;"'!D10")</f>
        <v>1400</v>
      </c>
      <c r="G3" s="13" cm="1">
        <f t="array" aca="1" ref="G3" ca="1">INDIRECT("'" &amp; DAY(G1) &amp;"'!D10")</f>
        <v>1700</v>
      </c>
      <c r="H3" s="13" cm="1">
        <f t="array" aca="1" ref="H3" ca="1">INDIRECT("'" &amp; DAY(H1) &amp;"'!D10")</f>
        <v>1800</v>
      </c>
      <c r="I3" s="13" cm="1">
        <f t="array" aca="1" ref="I3" ca="1">INDIRECT("'" &amp; DAY(I1) &amp;"'!D10")</f>
        <v>1600</v>
      </c>
      <c r="J3" s="13" cm="1">
        <f t="array" aca="1" ref="J3" ca="1">INDIRECT("'" &amp; DAY(J1) &amp;"'!D10")</f>
        <v>1900</v>
      </c>
      <c r="K3" s="13" cm="1">
        <f t="array" aca="1" ref="K3" ca="1">INDIRECT("'" &amp; DAY(K1) &amp;"'!D10")</f>
        <v>1900</v>
      </c>
      <c r="M3" s="13">
        <f t="shared" ca="1" si="1"/>
        <v>17900</v>
      </c>
    </row>
    <row r="4" spans="1:13" x14ac:dyDescent="0.25">
      <c r="A4" s="11" t="s">
        <v>10</v>
      </c>
      <c r="B4" s="14">
        <f ca="1">B2-B3</f>
        <v>8400</v>
      </c>
      <c r="C4" s="14">
        <f t="shared" ref="C4:K4" ca="1" si="2">C2-C3</f>
        <v>8600</v>
      </c>
      <c r="D4" s="14">
        <f t="shared" ca="1" si="2"/>
        <v>8200</v>
      </c>
      <c r="E4" s="14">
        <f t="shared" ca="1" si="2"/>
        <v>8400</v>
      </c>
      <c r="F4" s="14">
        <f t="shared" ca="1" si="2"/>
        <v>9000</v>
      </c>
      <c r="G4" s="14">
        <f t="shared" ca="1" si="2"/>
        <v>9200</v>
      </c>
      <c r="H4" s="14">
        <f t="shared" ca="1" si="2"/>
        <v>7200</v>
      </c>
      <c r="I4" s="14">
        <f t="shared" ca="1" si="2"/>
        <v>8700</v>
      </c>
      <c r="J4" s="14">
        <f t="shared" ca="1" si="2"/>
        <v>7900</v>
      </c>
      <c r="K4" s="14">
        <f t="shared" ca="1" si="2"/>
        <v>10200</v>
      </c>
      <c r="M4" s="14">
        <f t="shared" ca="1" si="1"/>
        <v>85800</v>
      </c>
    </row>
    <row r="11" spans="1:13" x14ac:dyDescent="0.25">
      <c r="B1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F6D7-8CC5-440F-99DB-F42AD0DBD9E9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1" max="1" width="9.140625" bestFit="1" customWidth="1"/>
    <col min="2" max="2" width="13.140625" bestFit="1" customWidth="1"/>
    <col min="4" max="4" width="13.5703125" bestFit="1" customWidth="1"/>
  </cols>
  <sheetData>
    <row r="1" spans="1:4" x14ac:dyDescent="0.25">
      <c r="A1" s="2"/>
      <c r="B1" s="3">
        <f ca="1">GENEL_TOPLAM!B1+_xlfn.SHEET()-2</f>
        <v>44287</v>
      </c>
      <c r="D1" s="2" t="s">
        <v>9</v>
      </c>
    </row>
    <row r="2" spans="1:4" x14ac:dyDescent="0.25">
      <c r="A2" s="2" t="s">
        <v>2</v>
      </c>
      <c r="B2" s="4">
        <v>1400</v>
      </c>
      <c r="D2" s="4">
        <v>400</v>
      </c>
    </row>
    <row r="3" spans="1:4" x14ac:dyDescent="0.25">
      <c r="A3" s="2" t="s">
        <v>3</v>
      </c>
      <c r="B3" s="4">
        <v>1300</v>
      </c>
      <c r="D3" s="4">
        <v>500</v>
      </c>
    </row>
    <row r="4" spans="1:4" x14ac:dyDescent="0.25">
      <c r="A4" s="2" t="s">
        <v>4</v>
      </c>
      <c r="B4" s="4">
        <v>1600</v>
      </c>
      <c r="D4" s="4">
        <v>300</v>
      </c>
    </row>
    <row r="5" spans="1:4" x14ac:dyDescent="0.25">
      <c r="A5" s="2" t="s">
        <v>0</v>
      </c>
      <c r="B5" s="4">
        <v>1200</v>
      </c>
      <c r="D5" s="4">
        <v>400</v>
      </c>
    </row>
    <row r="6" spans="1:4" x14ac:dyDescent="0.25">
      <c r="A6" s="2" t="s">
        <v>1</v>
      </c>
      <c r="B6" s="4">
        <v>1400</v>
      </c>
      <c r="D6" s="4"/>
    </row>
    <row r="7" spans="1:4" x14ac:dyDescent="0.25">
      <c r="A7" s="2" t="s">
        <v>5</v>
      </c>
      <c r="B7" s="4">
        <v>1800</v>
      </c>
      <c r="D7" s="4">
        <v>600</v>
      </c>
    </row>
    <row r="8" spans="1:4" x14ac:dyDescent="0.25">
      <c r="A8" s="2" t="s">
        <v>6</v>
      </c>
      <c r="B8" s="4">
        <v>1900</v>
      </c>
      <c r="D8" s="4"/>
    </row>
    <row r="9" spans="1:4" x14ac:dyDescent="0.25">
      <c r="B9" s="5"/>
    </row>
    <row r="10" spans="1:4" x14ac:dyDescent="0.25">
      <c r="A10" s="2" t="s">
        <v>7</v>
      </c>
      <c r="B10" s="8">
        <f>SUM(B2:B9)</f>
        <v>10600</v>
      </c>
      <c r="D10" s="8">
        <f>SUM(D2:D8)</f>
        <v>2200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C2FD-BBAF-413F-9FE7-04F0741CE16D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3.140625" bestFit="1" customWidth="1"/>
    <col min="4" max="4" width="13.5703125" bestFit="1" customWidth="1"/>
  </cols>
  <sheetData>
    <row r="1" spans="1:4" x14ac:dyDescent="0.25">
      <c r="A1" s="2"/>
      <c r="B1" s="3">
        <f ca="1">GENEL_TOPLAM!B1+_xlfn.SHEET()-2</f>
        <v>44288</v>
      </c>
      <c r="D1" s="2" t="s">
        <v>9</v>
      </c>
    </row>
    <row r="2" spans="1:4" x14ac:dyDescent="0.25">
      <c r="A2" s="2" t="s">
        <v>2</v>
      </c>
      <c r="B2" s="4">
        <v>1500</v>
      </c>
      <c r="D2" s="4">
        <v>400</v>
      </c>
    </row>
    <row r="3" spans="1:4" x14ac:dyDescent="0.25">
      <c r="A3" s="2" t="s">
        <v>3</v>
      </c>
      <c r="B3" s="4">
        <v>1400</v>
      </c>
      <c r="D3" s="4"/>
    </row>
    <row r="4" spans="1:4" x14ac:dyDescent="0.25">
      <c r="A4" s="2" t="s">
        <v>4</v>
      </c>
      <c r="B4" s="4">
        <v>1700</v>
      </c>
      <c r="D4" s="4">
        <v>600</v>
      </c>
    </row>
    <row r="5" spans="1:4" x14ac:dyDescent="0.25">
      <c r="A5" s="2" t="s">
        <v>0</v>
      </c>
      <c r="B5" s="4">
        <v>1200</v>
      </c>
      <c r="D5" s="4">
        <v>300</v>
      </c>
    </row>
    <row r="6" spans="1:4" x14ac:dyDescent="0.25">
      <c r="A6" s="2" t="s">
        <v>1</v>
      </c>
      <c r="B6" s="4">
        <v>1100</v>
      </c>
      <c r="D6" s="4"/>
    </row>
    <row r="7" spans="1:4" x14ac:dyDescent="0.25">
      <c r="A7" s="2" t="s">
        <v>5</v>
      </c>
      <c r="B7" s="4">
        <v>1600</v>
      </c>
      <c r="D7" s="4">
        <v>400</v>
      </c>
    </row>
    <row r="8" spans="1:4" x14ac:dyDescent="0.25">
      <c r="A8" s="2" t="s">
        <v>6</v>
      </c>
      <c r="B8" s="4">
        <v>1800</v>
      </c>
      <c r="D8" s="4"/>
    </row>
    <row r="9" spans="1:4" x14ac:dyDescent="0.25">
      <c r="B9" s="5"/>
    </row>
    <row r="10" spans="1:4" x14ac:dyDescent="0.25">
      <c r="A10" s="2" t="s">
        <v>7</v>
      </c>
      <c r="B10" s="9">
        <f>SUM(B2:B9)</f>
        <v>10300</v>
      </c>
      <c r="D10" s="9">
        <f>SUM(D2:D8)</f>
        <v>1700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43D4-827B-46BC-B38A-734303DC0089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2.140625" bestFit="1" customWidth="1"/>
    <col min="4" max="4" width="13.5703125" bestFit="1" customWidth="1"/>
  </cols>
  <sheetData>
    <row r="1" spans="1:4" x14ac:dyDescent="0.25">
      <c r="A1" s="2"/>
      <c r="B1" s="3">
        <f ca="1">GENEL_TOPLAM!B1+_xlfn.SHEET()-2</f>
        <v>44289</v>
      </c>
      <c r="D1" s="2" t="s">
        <v>9</v>
      </c>
    </row>
    <row r="2" spans="1:4" x14ac:dyDescent="0.25">
      <c r="A2" s="2" t="s">
        <v>2</v>
      </c>
      <c r="B2" s="4">
        <v>1100</v>
      </c>
      <c r="D2" s="4">
        <v>500</v>
      </c>
    </row>
    <row r="3" spans="1:4" x14ac:dyDescent="0.25">
      <c r="A3" s="2" t="s">
        <v>3</v>
      </c>
      <c r="B3" s="4">
        <v>1600</v>
      </c>
      <c r="D3" s="4">
        <v>300</v>
      </c>
    </row>
    <row r="4" spans="1:4" x14ac:dyDescent="0.25">
      <c r="A4" s="2" t="s">
        <v>4</v>
      </c>
      <c r="B4" s="4">
        <v>1000</v>
      </c>
      <c r="D4" s="4">
        <v>300</v>
      </c>
    </row>
    <row r="5" spans="1:4" x14ac:dyDescent="0.25">
      <c r="A5" s="2" t="s">
        <v>0</v>
      </c>
      <c r="B5" s="4">
        <v>1100</v>
      </c>
      <c r="D5" s="4">
        <v>400</v>
      </c>
    </row>
    <row r="6" spans="1:4" x14ac:dyDescent="0.25">
      <c r="A6" s="2" t="s">
        <v>1</v>
      </c>
      <c r="B6" s="4">
        <v>1600</v>
      </c>
      <c r="D6" s="4"/>
    </row>
    <row r="7" spans="1:4" x14ac:dyDescent="0.25">
      <c r="A7" s="2" t="s">
        <v>5</v>
      </c>
      <c r="B7" s="4">
        <v>2000</v>
      </c>
      <c r="D7" s="4"/>
    </row>
    <row r="8" spans="1:4" x14ac:dyDescent="0.25">
      <c r="A8" s="2" t="s">
        <v>6</v>
      </c>
      <c r="B8" s="4">
        <v>1300</v>
      </c>
      <c r="D8" s="4"/>
    </row>
    <row r="9" spans="1:4" x14ac:dyDescent="0.25">
      <c r="B9" s="5"/>
    </row>
    <row r="10" spans="1:4" x14ac:dyDescent="0.25">
      <c r="A10" s="2" t="s">
        <v>7</v>
      </c>
      <c r="B10" s="9">
        <f>SUM(B2:B9)</f>
        <v>9700</v>
      </c>
      <c r="D10" s="9">
        <f>SUM(D2:D8)</f>
        <v>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6557-8C0E-4C08-AE6C-F3BD85B44F8F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3.140625" bestFit="1" customWidth="1"/>
    <col min="4" max="4" width="13.5703125" bestFit="1" customWidth="1"/>
  </cols>
  <sheetData>
    <row r="1" spans="1:4" x14ac:dyDescent="0.25">
      <c r="A1" s="2"/>
      <c r="B1" s="3">
        <f ca="1">GENEL_TOPLAM!B1+_xlfn.SHEET()-2</f>
        <v>44290</v>
      </c>
      <c r="D1" s="2" t="s">
        <v>9</v>
      </c>
    </row>
    <row r="2" spans="1:4" x14ac:dyDescent="0.25">
      <c r="A2" s="2" t="s">
        <v>2</v>
      </c>
      <c r="B2" s="4">
        <v>1900</v>
      </c>
      <c r="D2" s="4">
        <v>300</v>
      </c>
    </row>
    <row r="3" spans="1:4" x14ac:dyDescent="0.25">
      <c r="A3" s="2" t="s">
        <v>3</v>
      </c>
      <c r="B3" s="4">
        <v>1500</v>
      </c>
      <c r="D3" s="4">
        <v>500</v>
      </c>
    </row>
    <row r="4" spans="1:4" x14ac:dyDescent="0.25">
      <c r="A4" s="2" t="s">
        <v>4</v>
      </c>
      <c r="B4" s="4">
        <v>1200</v>
      </c>
      <c r="D4" s="4">
        <v>600</v>
      </c>
    </row>
    <row r="5" spans="1:4" x14ac:dyDescent="0.25">
      <c r="A5" s="2" t="s">
        <v>0</v>
      </c>
      <c r="B5" s="4">
        <v>1700</v>
      </c>
      <c r="D5" s="4">
        <v>400</v>
      </c>
    </row>
    <row r="6" spans="1:4" x14ac:dyDescent="0.25">
      <c r="A6" s="2" t="s">
        <v>1</v>
      </c>
      <c r="B6" s="4">
        <v>1600</v>
      </c>
      <c r="D6" s="4"/>
    </row>
    <row r="7" spans="1:4" x14ac:dyDescent="0.25">
      <c r="A7" s="2" t="s">
        <v>5</v>
      </c>
      <c r="B7" s="4">
        <v>1200</v>
      </c>
      <c r="D7" s="4"/>
    </row>
    <row r="8" spans="1:4" x14ac:dyDescent="0.25">
      <c r="A8" s="2" t="s">
        <v>6</v>
      </c>
      <c r="B8" s="4">
        <v>1500</v>
      </c>
      <c r="D8" s="4">
        <v>400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10600</v>
      </c>
      <c r="D10" s="9">
        <f>SUM(D2:D8)</f>
        <v>2200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F4B7-EC0C-425C-848E-745DE6A627E4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3.140625" bestFit="1" customWidth="1"/>
    <col min="4" max="4" width="13.5703125" bestFit="1" customWidth="1"/>
  </cols>
  <sheetData>
    <row r="1" spans="1:4" x14ac:dyDescent="0.25">
      <c r="A1" s="2"/>
      <c r="B1" s="3">
        <f ca="1">GENEL_TOPLAM!B1+_xlfn.SHEET()-2</f>
        <v>44291</v>
      </c>
      <c r="D1" s="2" t="s">
        <v>9</v>
      </c>
    </row>
    <row r="2" spans="1:4" x14ac:dyDescent="0.25">
      <c r="A2" s="2" t="s">
        <v>2</v>
      </c>
      <c r="B2" s="4">
        <v>1300</v>
      </c>
      <c r="D2" s="4">
        <v>400</v>
      </c>
    </row>
    <row r="3" spans="1:4" x14ac:dyDescent="0.25">
      <c r="A3" s="2" t="s">
        <v>3</v>
      </c>
      <c r="B3" s="4">
        <v>1100</v>
      </c>
      <c r="D3" s="4"/>
    </row>
    <row r="4" spans="1:4" x14ac:dyDescent="0.25">
      <c r="A4" s="2" t="s">
        <v>4</v>
      </c>
      <c r="B4" s="4">
        <v>1300</v>
      </c>
      <c r="D4" s="4"/>
    </row>
    <row r="5" spans="1:4" x14ac:dyDescent="0.25">
      <c r="A5" s="2" t="s">
        <v>0</v>
      </c>
      <c r="B5" s="4">
        <v>1400</v>
      </c>
      <c r="D5" s="4"/>
    </row>
    <row r="6" spans="1:4" x14ac:dyDescent="0.25">
      <c r="A6" s="2" t="s">
        <v>1</v>
      </c>
      <c r="B6" s="4">
        <v>1700</v>
      </c>
      <c r="D6" s="4"/>
    </row>
    <row r="7" spans="1:4" x14ac:dyDescent="0.25">
      <c r="A7" s="2" t="s">
        <v>5</v>
      </c>
      <c r="B7" s="4">
        <v>1700</v>
      </c>
      <c r="D7" s="4">
        <v>500</v>
      </c>
    </row>
    <row r="8" spans="1:4" x14ac:dyDescent="0.25">
      <c r="A8" s="2" t="s">
        <v>6</v>
      </c>
      <c r="B8" s="4">
        <v>1900</v>
      </c>
      <c r="D8" s="4">
        <v>500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10400</v>
      </c>
      <c r="D10" s="9">
        <f>SUM(D2:D8)</f>
        <v>1400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ED7D-23CD-45F6-8C62-E9DC0952D417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3.140625" bestFit="1" customWidth="1"/>
    <col min="4" max="4" width="13.5703125" bestFit="1" customWidth="1"/>
  </cols>
  <sheetData>
    <row r="1" spans="1:4" x14ac:dyDescent="0.25">
      <c r="A1" s="2"/>
      <c r="B1" s="3">
        <f ca="1">GENEL_TOPLAM!B1+_xlfn.SHEET()-2</f>
        <v>44292</v>
      </c>
      <c r="D1" s="2" t="s">
        <v>9</v>
      </c>
    </row>
    <row r="2" spans="1:4" x14ac:dyDescent="0.25">
      <c r="A2" s="2" t="s">
        <v>2</v>
      </c>
      <c r="B2" s="4">
        <v>1300</v>
      </c>
      <c r="D2" s="4">
        <v>400</v>
      </c>
    </row>
    <row r="3" spans="1:4" x14ac:dyDescent="0.25">
      <c r="A3" s="2" t="s">
        <v>3</v>
      </c>
      <c r="B3" s="4">
        <v>1400</v>
      </c>
      <c r="D3" s="4">
        <v>500</v>
      </c>
    </row>
    <row r="4" spans="1:4" x14ac:dyDescent="0.25">
      <c r="A4" s="2" t="s">
        <v>4</v>
      </c>
      <c r="B4" s="4">
        <v>1800</v>
      </c>
      <c r="D4" s="4">
        <v>500</v>
      </c>
    </row>
    <row r="5" spans="1:4" x14ac:dyDescent="0.25">
      <c r="A5" s="2" t="s">
        <v>0</v>
      </c>
      <c r="B5" s="4">
        <v>1000</v>
      </c>
      <c r="D5" s="4"/>
    </row>
    <row r="6" spans="1:4" x14ac:dyDescent="0.25">
      <c r="A6" s="2" t="s">
        <v>1</v>
      </c>
      <c r="B6" s="4">
        <v>1600</v>
      </c>
      <c r="D6" s="4"/>
    </row>
    <row r="7" spans="1:4" x14ac:dyDescent="0.25">
      <c r="A7" s="2" t="s">
        <v>5</v>
      </c>
      <c r="B7" s="4">
        <v>1900</v>
      </c>
      <c r="D7" s="4"/>
    </row>
    <row r="8" spans="1:4" x14ac:dyDescent="0.25">
      <c r="A8" s="2" t="s">
        <v>6</v>
      </c>
      <c r="B8" s="4">
        <v>1900</v>
      </c>
      <c r="D8" s="4">
        <v>300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10900</v>
      </c>
      <c r="D10" s="9">
        <f>SUM(D2:D8)</f>
        <v>1700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9AEA-B336-41EC-8E49-258F87F21542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2.140625" bestFit="1" customWidth="1"/>
    <col min="4" max="4" width="13.5703125" bestFit="1" customWidth="1"/>
  </cols>
  <sheetData>
    <row r="1" spans="1:4" x14ac:dyDescent="0.25">
      <c r="A1" s="2"/>
      <c r="B1" s="3">
        <f ca="1">GENEL_TOPLAM!B1+_xlfn.SHEET()-2</f>
        <v>44293</v>
      </c>
      <c r="D1" s="2" t="s">
        <v>9</v>
      </c>
    </row>
    <row r="2" spans="1:4" x14ac:dyDescent="0.25">
      <c r="A2" s="2" t="s">
        <v>2</v>
      </c>
      <c r="B2" s="4">
        <v>1400</v>
      </c>
      <c r="D2" s="4">
        <v>300</v>
      </c>
    </row>
    <row r="3" spans="1:4" x14ac:dyDescent="0.25">
      <c r="A3" s="2" t="s">
        <v>3</v>
      </c>
      <c r="B3" s="4">
        <v>1100</v>
      </c>
      <c r="D3" s="4">
        <v>400</v>
      </c>
    </row>
    <row r="4" spans="1:4" x14ac:dyDescent="0.25">
      <c r="A4" s="2" t="s">
        <v>4</v>
      </c>
      <c r="B4" s="4">
        <v>1000</v>
      </c>
      <c r="D4" s="4">
        <v>600</v>
      </c>
    </row>
    <row r="5" spans="1:4" x14ac:dyDescent="0.25">
      <c r="A5" s="2" t="s">
        <v>0</v>
      </c>
      <c r="B5" s="4">
        <v>1300</v>
      </c>
      <c r="D5" s="4"/>
    </row>
    <row r="6" spans="1:4" x14ac:dyDescent="0.25">
      <c r="A6" s="2" t="s">
        <v>1</v>
      </c>
      <c r="B6" s="4">
        <v>1200</v>
      </c>
      <c r="D6" s="4"/>
    </row>
    <row r="7" spans="1:4" x14ac:dyDescent="0.25">
      <c r="A7" s="2" t="s">
        <v>5</v>
      </c>
      <c r="B7" s="4">
        <v>2000</v>
      </c>
      <c r="D7" s="4"/>
    </row>
    <row r="8" spans="1:4" x14ac:dyDescent="0.25">
      <c r="A8" s="2" t="s">
        <v>6</v>
      </c>
      <c r="B8" s="4">
        <v>1000</v>
      </c>
      <c r="D8" s="4">
        <v>500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9000</v>
      </c>
      <c r="D10" s="9">
        <f>SUM(D2:D8)</f>
        <v>1800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836E-7304-412F-9EE1-64BFE93BA187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3.140625" bestFit="1" customWidth="1"/>
    <col min="4" max="4" width="13.5703125" bestFit="1" customWidth="1"/>
  </cols>
  <sheetData>
    <row r="1" spans="1:4" x14ac:dyDescent="0.25">
      <c r="A1" s="2"/>
      <c r="B1" s="3">
        <f ca="1">GENEL_TOPLAM!B1+_xlfn.SHEET()-2</f>
        <v>44294</v>
      </c>
      <c r="D1" s="2" t="s">
        <v>9</v>
      </c>
    </row>
    <row r="2" spans="1:4" x14ac:dyDescent="0.25">
      <c r="A2" s="2" t="s">
        <v>2</v>
      </c>
      <c r="B2" s="4">
        <v>1300</v>
      </c>
      <c r="D2" s="4"/>
    </row>
    <row r="3" spans="1:4" x14ac:dyDescent="0.25">
      <c r="A3" s="2" t="s">
        <v>3</v>
      </c>
      <c r="B3" s="4">
        <v>1500</v>
      </c>
      <c r="D3" s="4"/>
    </row>
    <row r="4" spans="1:4" x14ac:dyDescent="0.25">
      <c r="A4" s="2" t="s">
        <v>4</v>
      </c>
      <c r="B4" s="4">
        <v>1500</v>
      </c>
      <c r="D4" s="4"/>
    </row>
    <row r="5" spans="1:4" x14ac:dyDescent="0.25">
      <c r="A5" s="2" t="s">
        <v>0</v>
      </c>
      <c r="B5" s="4">
        <v>1300</v>
      </c>
      <c r="D5" s="4">
        <v>500</v>
      </c>
    </row>
    <row r="6" spans="1:4" x14ac:dyDescent="0.25">
      <c r="A6" s="2" t="s">
        <v>1</v>
      </c>
      <c r="B6" s="4">
        <v>1600</v>
      </c>
      <c r="D6" s="4">
        <v>300</v>
      </c>
    </row>
    <row r="7" spans="1:4" x14ac:dyDescent="0.25">
      <c r="A7" s="2" t="s">
        <v>5</v>
      </c>
      <c r="B7" s="4">
        <v>1400</v>
      </c>
      <c r="D7" s="4">
        <v>500</v>
      </c>
    </row>
    <row r="8" spans="1:4" x14ac:dyDescent="0.25">
      <c r="A8" s="2" t="s">
        <v>6</v>
      </c>
      <c r="B8" s="4">
        <v>1700</v>
      </c>
      <c r="D8" s="4">
        <v>300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10300</v>
      </c>
      <c r="D10" s="9">
        <f>SUM(D2:D8)</f>
        <v>1600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AE70-7C4F-4E5D-AF97-FE79A18700D0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2.140625" bestFit="1" customWidth="1"/>
    <col min="4" max="4" width="13.5703125" bestFit="1" customWidth="1"/>
  </cols>
  <sheetData>
    <row r="1" spans="1:4" x14ac:dyDescent="0.25">
      <c r="A1" s="2"/>
      <c r="B1" s="3">
        <f ca="1">GENEL_TOPLAM!B1+_xlfn.SHEET()-2</f>
        <v>44295</v>
      </c>
      <c r="D1" s="2" t="s">
        <v>9</v>
      </c>
    </row>
    <row r="2" spans="1:4" x14ac:dyDescent="0.25">
      <c r="A2" s="2" t="s">
        <v>2</v>
      </c>
      <c r="B2" s="4">
        <v>1900</v>
      </c>
      <c r="D2" s="4">
        <v>600</v>
      </c>
    </row>
    <row r="3" spans="1:4" x14ac:dyDescent="0.25">
      <c r="A3" s="2" t="s">
        <v>3</v>
      </c>
      <c r="B3" s="4">
        <v>1100</v>
      </c>
      <c r="D3" s="4"/>
    </row>
    <row r="4" spans="1:4" x14ac:dyDescent="0.25">
      <c r="A4" s="2" t="s">
        <v>4</v>
      </c>
      <c r="B4" s="4">
        <v>1600</v>
      </c>
      <c r="D4" s="4">
        <v>300</v>
      </c>
    </row>
    <row r="5" spans="1:4" x14ac:dyDescent="0.25">
      <c r="A5" s="2" t="s">
        <v>0</v>
      </c>
      <c r="B5" s="4">
        <v>1400</v>
      </c>
      <c r="D5" s="4"/>
    </row>
    <row r="6" spans="1:4" x14ac:dyDescent="0.25">
      <c r="A6" s="2" t="s">
        <v>1</v>
      </c>
      <c r="B6" s="4">
        <v>1500</v>
      </c>
      <c r="D6" s="4">
        <v>600</v>
      </c>
    </row>
    <row r="7" spans="1:4" x14ac:dyDescent="0.25">
      <c r="A7" s="2" t="s">
        <v>5</v>
      </c>
      <c r="B7" s="4">
        <v>1200</v>
      </c>
      <c r="D7" s="4"/>
    </row>
    <row r="8" spans="1:4" x14ac:dyDescent="0.25">
      <c r="A8" s="2" t="s">
        <v>6</v>
      </c>
      <c r="B8" s="4">
        <v>1100</v>
      </c>
      <c r="D8" s="4">
        <v>400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9800</v>
      </c>
      <c r="D10" s="9">
        <f>SUM(D2:D8)</f>
        <v>1900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52E7-FB8E-4988-890D-D70AE54D264C}">
  <dimension ref="A1:D10"/>
  <sheetViews>
    <sheetView showGridLines="0" zoomScale="175" zoomScaleNormal="175" workbookViewId="0">
      <selection activeCell="B1" sqref="B1"/>
    </sheetView>
  </sheetViews>
  <sheetFormatPr defaultRowHeight="15" x14ac:dyDescent="0.25"/>
  <cols>
    <col min="2" max="2" width="13.140625" bestFit="1" customWidth="1"/>
    <col min="4" max="4" width="13.5703125" bestFit="1" customWidth="1"/>
  </cols>
  <sheetData>
    <row r="1" spans="1:4" x14ac:dyDescent="0.25">
      <c r="A1" s="2"/>
      <c r="B1" s="3">
        <f ca="1">GENEL_TOPLAM!B1+_xlfn.SHEET()-2</f>
        <v>44296</v>
      </c>
      <c r="D1" s="2" t="s">
        <v>9</v>
      </c>
    </row>
    <row r="2" spans="1:4" x14ac:dyDescent="0.25">
      <c r="A2" s="2" t="s">
        <v>2</v>
      </c>
      <c r="B2" s="4">
        <v>1100</v>
      </c>
      <c r="D2" s="4">
        <v>400</v>
      </c>
    </row>
    <row r="3" spans="1:4" x14ac:dyDescent="0.25">
      <c r="A3" s="2" t="s">
        <v>3</v>
      </c>
      <c r="B3" s="4">
        <v>1900</v>
      </c>
      <c r="D3" s="4">
        <v>600</v>
      </c>
    </row>
    <row r="4" spans="1:4" x14ac:dyDescent="0.25">
      <c r="A4" s="2" t="s">
        <v>4</v>
      </c>
      <c r="B4" s="4">
        <v>1800</v>
      </c>
      <c r="D4" s="4"/>
    </row>
    <row r="5" spans="1:4" x14ac:dyDescent="0.25">
      <c r="A5" s="2" t="s">
        <v>0</v>
      </c>
      <c r="B5" s="4">
        <v>1600</v>
      </c>
      <c r="D5" s="4">
        <v>600</v>
      </c>
    </row>
    <row r="6" spans="1:4" x14ac:dyDescent="0.25">
      <c r="A6" s="2" t="s">
        <v>1</v>
      </c>
      <c r="B6" s="4">
        <v>1800</v>
      </c>
      <c r="D6" s="4"/>
    </row>
    <row r="7" spans="1:4" x14ac:dyDescent="0.25">
      <c r="A7" s="2" t="s">
        <v>5</v>
      </c>
      <c r="B7" s="4">
        <v>1900</v>
      </c>
      <c r="D7" s="4"/>
    </row>
    <row r="8" spans="1:4" x14ac:dyDescent="0.25">
      <c r="A8" s="2" t="s">
        <v>6</v>
      </c>
      <c r="B8" s="4">
        <v>2000</v>
      </c>
      <c r="D8" s="4">
        <v>300</v>
      </c>
    </row>
    <row r="9" spans="1:4" x14ac:dyDescent="0.25">
      <c r="B9" s="5"/>
    </row>
    <row r="10" spans="1:4" x14ac:dyDescent="0.25">
      <c r="A10" s="2" t="s">
        <v>7</v>
      </c>
      <c r="B10" s="9">
        <f>SUM(B2:B9)</f>
        <v>12100</v>
      </c>
      <c r="D10" s="9">
        <f>SUM(D2:D8)</f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GENEL_TOPLAM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2021-03-30T19:37:59Z</dcterms:created>
  <dcterms:modified xsi:type="dcterms:W3CDTF">2021-04-01T11:02:25Z</dcterms:modified>
</cp:coreProperties>
</file>