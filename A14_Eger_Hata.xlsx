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1CD532FB-69A1-4A90-AB0B-B185FF5AB9D3}" xr6:coauthVersionLast="46" xr6:coauthVersionMax="46" xr10:uidLastSave="{00000000-0000-0000-0000-000000000000}"/>
  <bookViews>
    <workbookView xWindow="-120" yWindow="-120" windowWidth="24240" windowHeight="13140" xr2:uid="{E087085F-36F0-4CC2-AE3C-A16B72925E6C}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3" i="5"/>
  <c r="E15" i="5"/>
  <c r="C13" i="4"/>
  <c r="C3" i="4"/>
  <c r="C12" i="4"/>
  <c r="C11" i="4"/>
  <c r="E17" i="3"/>
  <c r="E15" i="3"/>
  <c r="E16" i="3"/>
  <c r="E14" i="3"/>
  <c r="E10" i="2"/>
  <c r="E4" i="2"/>
  <c r="E5" i="2"/>
  <c r="E6" i="2"/>
  <c r="E7" i="2"/>
  <c r="E8" i="2"/>
  <c r="E9" i="2"/>
  <c r="E3" i="2"/>
  <c r="E14" i="2"/>
  <c r="E10" i="3"/>
  <c r="E9" i="3"/>
  <c r="E8" i="3"/>
  <c r="E7" i="3"/>
  <c r="E6" i="3"/>
  <c r="E5" i="3"/>
  <c r="E4" i="3"/>
  <c r="E3" i="3"/>
  <c r="C3" i="1" l="1"/>
  <c r="C8" i="1"/>
</calcChain>
</file>

<file path=xl/sharedStrings.xml><?xml version="1.0" encoding="utf-8"?>
<sst xmlns="http://schemas.openxmlformats.org/spreadsheetml/2006/main" count="81" uniqueCount="46">
  <si>
    <t>Sicil No</t>
  </si>
  <si>
    <t>Ad Soyadı</t>
  </si>
  <si>
    <t>Departaman</t>
  </si>
  <si>
    <t>Ali Yılmaz</t>
  </si>
  <si>
    <t>Rıza Güzel</t>
  </si>
  <si>
    <t>Ege Yumaklı</t>
  </si>
  <si>
    <t>Mustafa Şenkaya</t>
  </si>
  <si>
    <t>Akif Yıldırım</t>
  </si>
  <si>
    <t>Satış</t>
  </si>
  <si>
    <t>Pazarlama</t>
  </si>
  <si>
    <t>İnsan Kaynakları</t>
  </si>
  <si>
    <t>Bilgi İşlem</t>
  </si>
  <si>
    <t>Muhasebe</t>
  </si>
  <si>
    <t>Adı Soyadı</t>
  </si>
  <si>
    <t>Adet</t>
  </si>
  <si>
    <t>Fiyat</t>
  </si>
  <si>
    <t>Tutar</t>
  </si>
  <si>
    <t>Ocak</t>
  </si>
  <si>
    <t>Şubat</t>
  </si>
  <si>
    <t>Değişim Yüzdesi</t>
  </si>
  <si>
    <t>Müşteri</t>
  </si>
  <si>
    <t>A Müşteri</t>
  </si>
  <si>
    <t>B Müşteri</t>
  </si>
  <si>
    <t>C Müşteri</t>
  </si>
  <si>
    <t>D Müşteri</t>
  </si>
  <si>
    <t>E Müşteri</t>
  </si>
  <si>
    <t>F Müşteri</t>
  </si>
  <si>
    <t>H Müşteri</t>
  </si>
  <si>
    <t>Keziban Güzel</t>
  </si>
  <si>
    <t>Yönetici</t>
  </si>
  <si>
    <t>Dilber Deliduman</t>
  </si>
  <si>
    <t>Mustafa Güzel</t>
  </si>
  <si>
    <t>A tablosu</t>
  </si>
  <si>
    <t>B tablosu</t>
  </si>
  <si>
    <t>Çözüm</t>
  </si>
  <si>
    <r>
      <t xml:space="preserve">*Formülleri C3 hücresine kopyalarken </t>
    </r>
    <r>
      <rPr>
        <b/>
        <i/>
        <sz val="11"/>
        <color rgb="FFFF0000"/>
        <rFont val="Calibri"/>
        <family val="2"/>
        <charset val="162"/>
        <scheme val="minor"/>
      </rPr>
      <t>Formül Çubuğundan</t>
    </r>
    <r>
      <rPr>
        <b/>
        <i/>
        <sz val="11"/>
        <color theme="1"/>
        <rFont val="Calibri"/>
        <family val="2"/>
        <charset val="162"/>
        <scheme val="minor"/>
      </rPr>
      <t xml:space="preserve"> Formülü Kopyalayınız</t>
    </r>
  </si>
  <si>
    <t>Ürün</t>
  </si>
  <si>
    <t>1O</t>
  </si>
  <si>
    <t>*Hatalı mesaj açıklamanız ne kadar kısa olursa sütun genişliğinde sorun yaşamazsınız</t>
  </si>
  <si>
    <t>A Ürün</t>
  </si>
  <si>
    <t>B Ürün</t>
  </si>
  <si>
    <t>C Ürün</t>
  </si>
  <si>
    <t>D Ürün</t>
  </si>
  <si>
    <t>E Ürün</t>
  </si>
  <si>
    <t>F Ürün</t>
  </si>
  <si>
    <t>H Ürün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</si>
</sst>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\ &quot;TL&quot;_-;\-* #,##0\ &quot;TL&quot;_-;_-* &quot;-&quot;??\ &quot;TL&quot;_-;_-@_-"/>
    <numFmt numFmtId="165" formatCode="_-* #,##0_-;\-* #,##0_-;_-* &quot;-&quot;??_-;_-@_-"/>
  </numFmts>
  <fonts count="1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rgb="FF1E1E1E"/>
      <name val="Segoe UI"/>
      <family val="2"/>
      <charset val="162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i/>
      <sz val="11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164" fontId="2" fillId="0" borderId="1" xfId="2" applyNumberFormat="1" applyFont="1" applyFill="1" applyBorder="1"/>
    <xf numFmtId="164" fontId="2" fillId="0" borderId="1" xfId="2" applyNumberFormat="1" applyFont="1" applyBorder="1" applyAlignment="1">
      <alignment horizontal="center"/>
    </xf>
    <xf numFmtId="9" fontId="2" fillId="0" borderId="1" xfId="3" applyFont="1" applyFill="1" applyBorder="1"/>
    <xf numFmtId="0" fontId="6" fillId="2" borderId="1" xfId="0" applyFont="1" applyFill="1" applyBorder="1" applyAlignment="1">
      <alignment horizontal="center" vertical="center"/>
    </xf>
    <xf numFmtId="164" fontId="6" fillId="2" borderId="1" xfId="2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9" fontId="2" fillId="0" borderId="1" xfId="3" applyFont="1" applyFill="1" applyBorder="1" applyAlignment="1">
      <alignment horizontal="center"/>
    </xf>
    <xf numFmtId="9" fontId="2" fillId="0" borderId="0" xfId="3" applyFont="1" applyAlignment="1">
      <alignment horizontal="center"/>
    </xf>
    <xf numFmtId="0" fontId="8" fillId="0" borderId="0" xfId="0" applyFont="1"/>
    <xf numFmtId="165" fontId="4" fillId="3" borderId="1" xfId="1" applyNumberFormat="1" applyFont="1" applyFill="1" applyBorder="1" applyAlignment="1">
      <alignment horizontal="center" vertical="center"/>
    </xf>
    <xf numFmtId="165" fontId="0" fillId="0" borderId="0" xfId="1" applyNumberFormat="1" applyFont="1"/>
    <xf numFmtId="44" fontId="4" fillId="3" borderId="1" xfId="2" applyFont="1" applyFill="1" applyBorder="1" applyAlignment="1">
      <alignment horizontal="center" vertical="center"/>
    </xf>
    <xf numFmtId="44" fontId="0" fillId="0" borderId="0" xfId="2" applyFont="1"/>
    <xf numFmtId="165" fontId="2" fillId="0" borderId="1" xfId="1" applyNumberFormat="1" applyFont="1" applyFill="1" applyBorder="1" applyAlignment="1">
      <alignment horizontal="right"/>
    </xf>
    <xf numFmtId="164" fontId="0" fillId="0" borderId="0" xfId="2" applyNumberFormat="1" applyFont="1"/>
    <xf numFmtId="164" fontId="2" fillId="0" borderId="1" xfId="2" applyNumberFormat="1" applyFont="1" applyFill="1" applyBorder="1" applyAlignment="1">
      <alignment horizontal="center" wrapText="1"/>
    </xf>
    <xf numFmtId="44" fontId="7" fillId="0" borderId="0" xfId="2" applyFont="1"/>
  </cellXfs>
  <cellStyles count="4">
    <cellStyle name="Normal" xfId="0" builtinId="0"/>
    <cellStyle name="ParaBirimi" xfId="2" builtinId="4"/>
    <cellStyle name="Virgül" xfId="1" builtinId="3"/>
    <cellStyle name="Yüzd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9E78-93DD-41B6-993B-285520E4D1E5}">
  <dimension ref="B2:J8"/>
  <sheetViews>
    <sheetView showGridLines="0" tabSelected="1" zoomScale="130" zoomScaleNormal="130" workbookViewId="0">
      <selection activeCell="B14" sqref="B14"/>
    </sheetView>
  </sheetViews>
  <sheetFormatPr defaultRowHeight="15" x14ac:dyDescent="0.25"/>
  <cols>
    <col min="2" max="2" width="10" bestFit="1" customWidth="1"/>
    <col min="3" max="3" width="28.7109375" bestFit="1" customWidth="1"/>
    <col min="7" max="7" width="16" bestFit="1" customWidth="1"/>
    <col min="8" max="8" width="15.28515625" bestFit="1" customWidth="1"/>
  </cols>
  <sheetData>
    <row r="2" spans="2:10" x14ac:dyDescent="0.25">
      <c r="B2" s="4" t="s">
        <v>0</v>
      </c>
      <c r="C2" s="4" t="s">
        <v>13</v>
      </c>
      <c r="F2" s="2" t="s">
        <v>0</v>
      </c>
      <c r="G2" s="2" t="s">
        <v>1</v>
      </c>
      <c r="H2" s="2" t="s">
        <v>2</v>
      </c>
    </row>
    <row r="3" spans="2:10" x14ac:dyDescent="0.25">
      <c r="B3" s="5">
        <v>1004</v>
      </c>
      <c r="C3" s="6" t="e">
        <f>VLOOKUP(B3,F:H,2,0)</f>
        <v>#N/A</v>
      </c>
      <c r="F3" s="5">
        <v>1001</v>
      </c>
      <c r="G3" s="7" t="s">
        <v>3</v>
      </c>
      <c r="H3" s="7" t="s">
        <v>8</v>
      </c>
    </row>
    <row r="4" spans="2:10" x14ac:dyDescent="0.25">
      <c r="F4" s="5">
        <v>1002</v>
      </c>
      <c r="G4" s="7" t="s">
        <v>5</v>
      </c>
      <c r="H4" s="7" t="s">
        <v>9</v>
      </c>
    </row>
    <row r="5" spans="2:10" ht="17.25" x14ac:dyDescent="0.3">
      <c r="F5" s="5">
        <v>1003</v>
      </c>
      <c r="G5" s="7" t="s">
        <v>4</v>
      </c>
      <c r="H5" s="7" t="s">
        <v>10</v>
      </c>
      <c r="J5" s="1"/>
    </row>
    <row r="6" spans="2:10" x14ac:dyDescent="0.25">
      <c r="F6" s="5">
        <v>1005</v>
      </c>
      <c r="G6" s="7" t="s">
        <v>6</v>
      </c>
      <c r="H6" s="7" t="s">
        <v>11</v>
      </c>
    </row>
    <row r="7" spans="2:10" x14ac:dyDescent="0.25">
      <c r="F7" s="5">
        <v>1006</v>
      </c>
      <c r="G7" s="7" t="s">
        <v>7</v>
      </c>
      <c r="H7" s="7" t="s">
        <v>12</v>
      </c>
    </row>
    <row r="8" spans="2:10" x14ac:dyDescent="0.25">
      <c r="C8" t="str">
        <f>IFERROR(VLOOKUP(B3,F:H,2,0),"Sicil No ile kayıtlı Personel Yok")</f>
        <v>Sicil No ile kayıtlı Personel Yok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5826-DA56-463F-AEAC-C309EC87C899}">
  <dimension ref="B2:E14"/>
  <sheetViews>
    <sheetView showGridLines="0" workbookViewId="0">
      <selection activeCell="B23" sqref="B23"/>
    </sheetView>
  </sheetViews>
  <sheetFormatPr defaultRowHeight="15" x14ac:dyDescent="0.25"/>
  <cols>
    <col min="1" max="1" width="3.7109375" customWidth="1"/>
    <col min="2" max="2" width="18.85546875" customWidth="1"/>
    <col min="3" max="3" width="13.5703125" bestFit="1" customWidth="1"/>
    <col min="4" max="4" width="14.7109375" customWidth="1"/>
    <col min="5" max="5" width="16.5703125" bestFit="1" customWidth="1"/>
  </cols>
  <sheetData>
    <row r="2" spans="2:5" ht="15.75" x14ac:dyDescent="0.25">
      <c r="B2" s="8" t="s">
        <v>20</v>
      </c>
      <c r="C2" s="9" t="s">
        <v>17</v>
      </c>
      <c r="D2" s="11" t="s">
        <v>18</v>
      </c>
      <c r="E2" s="9" t="s">
        <v>19</v>
      </c>
    </row>
    <row r="3" spans="2:5" x14ac:dyDescent="0.25">
      <c r="B3" s="10" t="s">
        <v>21</v>
      </c>
      <c r="C3" s="12">
        <v>13000</v>
      </c>
      <c r="D3" s="13">
        <v>15000</v>
      </c>
      <c r="E3" s="18">
        <f>D3/C3</f>
        <v>1.1538461538461537</v>
      </c>
    </row>
    <row r="4" spans="2:5" x14ac:dyDescent="0.25">
      <c r="B4" s="3" t="s">
        <v>22</v>
      </c>
      <c r="C4" s="12">
        <v>18000</v>
      </c>
      <c r="D4" s="13">
        <v>19000</v>
      </c>
      <c r="E4" s="18">
        <f t="shared" ref="E4:E9" si="0">D4/C4</f>
        <v>1.0555555555555556</v>
      </c>
    </row>
    <row r="5" spans="2:5" x14ac:dyDescent="0.25">
      <c r="B5" s="10" t="s">
        <v>23</v>
      </c>
      <c r="C5" s="12">
        <v>14000</v>
      </c>
      <c r="D5" s="13">
        <v>13500</v>
      </c>
      <c r="E5" s="18">
        <f t="shared" si="0"/>
        <v>0.9642857142857143</v>
      </c>
    </row>
    <row r="6" spans="2:5" x14ac:dyDescent="0.25">
      <c r="B6" s="3" t="s">
        <v>24</v>
      </c>
      <c r="C6" s="12"/>
      <c r="D6" s="13"/>
      <c r="E6" s="18" t="e">
        <f t="shared" si="0"/>
        <v>#DIV/0!</v>
      </c>
    </row>
    <row r="7" spans="2:5" x14ac:dyDescent="0.25">
      <c r="B7" s="3" t="s">
        <v>25</v>
      </c>
      <c r="C7" s="12"/>
      <c r="D7" s="13"/>
      <c r="E7" s="18" t="e">
        <f t="shared" si="0"/>
        <v>#DIV/0!</v>
      </c>
    </row>
    <row r="8" spans="2:5" x14ac:dyDescent="0.25">
      <c r="B8" s="3" t="s">
        <v>26</v>
      </c>
      <c r="C8" s="12"/>
      <c r="D8" s="13"/>
      <c r="E8" s="18" t="e">
        <f t="shared" si="0"/>
        <v>#DIV/0!</v>
      </c>
    </row>
    <row r="9" spans="2:5" x14ac:dyDescent="0.25">
      <c r="B9" s="10" t="s">
        <v>26</v>
      </c>
      <c r="C9" s="12"/>
      <c r="D9" s="13"/>
      <c r="E9" s="18" t="e">
        <f t="shared" si="0"/>
        <v>#DIV/0!</v>
      </c>
    </row>
    <row r="10" spans="2:5" x14ac:dyDescent="0.25">
      <c r="B10" s="3" t="s">
        <v>27</v>
      </c>
      <c r="C10" s="12"/>
      <c r="D10" s="13"/>
      <c r="E10" s="18" t="e">
        <f>D10/C10</f>
        <v>#DIV/0!</v>
      </c>
    </row>
    <row r="14" spans="2:5" x14ac:dyDescent="0.25">
      <c r="E14" s="19">
        <f>IFERROR(D3/C3,"-")</f>
        <v>1.1538461538461537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25C7-F3EE-485B-9B4D-DA6894D5BD35}">
  <dimension ref="B2:E17"/>
  <sheetViews>
    <sheetView showGridLines="0" workbookViewId="0">
      <selection activeCell="G16" sqref="G16"/>
    </sheetView>
  </sheetViews>
  <sheetFormatPr defaultRowHeight="15" x14ac:dyDescent="0.25"/>
  <cols>
    <col min="1" max="1" width="3.7109375" customWidth="1"/>
    <col min="2" max="2" width="18.85546875" customWidth="1"/>
    <col min="3" max="3" width="13.5703125" bestFit="1" customWidth="1"/>
    <col min="4" max="4" width="14.7109375" customWidth="1"/>
    <col min="5" max="5" width="16.5703125" bestFit="1" customWidth="1"/>
  </cols>
  <sheetData>
    <row r="2" spans="2:5" ht="15.75" x14ac:dyDescent="0.25">
      <c r="B2" s="15" t="s">
        <v>20</v>
      </c>
      <c r="C2" s="16" t="s">
        <v>17</v>
      </c>
      <c r="D2" s="17" t="s">
        <v>18</v>
      </c>
      <c r="E2" s="16" t="s">
        <v>19</v>
      </c>
    </row>
    <row r="3" spans="2:5" x14ac:dyDescent="0.25">
      <c r="B3" s="10" t="s">
        <v>21</v>
      </c>
      <c r="C3" s="12">
        <v>13000</v>
      </c>
      <c r="D3" s="13">
        <v>15000</v>
      </c>
      <c r="E3" s="14">
        <f>D3/C3</f>
        <v>1.1538461538461537</v>
      </c>
    </row>
    <row r="4" spans="2:5" x14ac:dyDescent="0.25">
      <c r="B4" s="3" t="s">
        <v>22</v>
      </c>
      <c r="C4" s="12">
        <v>18000</v>
      </c>
      <c r="D4" s="13">
        <v>19000</v>
      </c>
      <c r="E4" s="14">
        <f t="shared" ref="E4:E10" si="0">D4/C4</f>
        <v>1.0555555555555556</v>
      </c>
    </row>
    <row r="5" spans="2:5" x14ac:dyDescent="0.25">
      <c r="B5" s="10" t="s">
        <v>23</v>
      </c>
      <c r="C5" s="12">
        <v>14000</v>
      </c>
      <c r="D5" s="13">
        <v>13500</v>
      </c>
      <c r="E5" s="14">
        <f t="shared" si="0"/>
        <v>0.9642857142857143</v>
      </c>
    </row>
    <row r="6" spans="2:5" x14ac:dyDescent="0.25">
      <c r="B6" s="3" t="s">
        <v>24</v>
      </c>
      <c r="C6" s="12"/>
      <c r="D6" s="13">
        <v>0</v>
      </c>
      <c r="E6" s="14" t="e">
        <f t="shared" si="0"/>
        <v>#DIV/0!</v>
      </c>
    </row>
    <row r="7" spans="2:5" x14ac:dyDescent="0.25">
      <c r="B7" s="3" t="s">
        <v>25</v>
      </c>
      <c r="C7" s="12"/>
      <c r="D7" s="13">
        <v>0</v>
      </c>
      <c r="E7" s="14" t="e">
        <f t="shared" si="0"/>
        <v>#DIV/0!</v>
      </c>
    </row>
    <row r="8" spans="2:5" x14ac:dyDescent="0.25">
      <c r="B8" s="3" t="s">
        <v>26</v>
      </c>
      <c r="C8" s="12"/>
      <c r="D8" s="13">
        <v>0</v>
      </c>
      <c r="E8" s="14" t="e">
        <f t="shared" si="0"/>
        <v>#DIV/0!</v>
      </c>
    </row>
    <row r="9" spans="2:5" x14ac:dyDescent="0.25">
      <c r="B9" s="10" t="s">
        <v>26</v>
      </c>
      <c r="C9" s="12"/>
      <c r="D9" s="13">
        <v>0</v>
      </c>
      <c r="E9" s="14" t="e">
        <f t="shared" si="0"/>
        <v>#DIV/0!</v>
      </c>
    </row>
    <row r="10" spans="2:5" x14ac:dyDescent="0.25">
      <c r="B10" s="3" t="s">
        <v>27</v>
      </c>
      <c r="C10" s="12"/>
      <c r="D10" s="13">
        <v>0</v>
      </c>
      <c r="E10" s="14" t="e">
        <f t="shared" si="0"/>
        <v>#DIV/0!</v>
      </c>
    </row>
    <row r="14" spans="2:5" x14ac:dyDescent="0.25">
      <c r="E14" s="19">
        <f>IFERROR(D3/C3,"")</f>
        <v>1.1538461538461537</v>
      </c>
    </row>
    <row r="15" spans="2:5" x14ac:dyDescent="0.25">
      <c r="E15" s="19">
        <f t="shared" ref="E15:E16" si="1">IFERROR(D4/C4,"")</f>
        <v>1.0555555555555556</v>
      </c>
    </row>
    <row r="16" spans="2:5" x14ac:dyDescent="0.25">
      <c r="E16" s="19">
        <f t="shared" si="1"/>
        <v>0.9642857142857143</v>
      </c>
    </row>
    <row r="17" spans="5:5" x14ac:dyDescent="0.25">
      <c r="E17" s="19" t="str">
        <f>IFERROR(D6/C6,"")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86A2-A790-44DB-B288-4D71E6100E8B}">
  <dimension ref="B2:L15"/>
  <sheetViews>
    <sheetView showGridLines="0" zoomScale="120" zoomScaleNormal="120" workbookViewId="0">
      <selection activeCell="H12" sqref="H12"/>
    </sheetView>
  </sheetViews>
  <sheetFormatPr defaultRowHeight="15" x14ac:dyDescent="0.25"/>
  <cols>
    <col min="2" max="2" width="10" bestFit="1" customWidth="1"/>
    <col min="3" max="3" width="28.7109375" bestFit="1" customWidth="1"/>
    <col min="7" max="7" width="16" bestFit="1" customWidth="1"/>
    <col min="8" max="8" width="15.28515625" bestFit="1" customWidth="1"/>
    <col min="11" max="11" width="16" bestFit="1" customWidth="1"/>
    <col min="12" max="12" width="15.28515625" bestFit="1" customWidth="1"/>
  </cols>
  <sheetData>
    <row r="2" spans="2:12" x14ac:dyDescent="0.25">
      <c r="B2" s="4" t="s">
        <v>0</v>
      </c>
      <c r="C2" s="4" t="s">
        <v>13</v>
      </c>
      <c r="F2" s="2" t="s">
        <v>0</v>
      </c>
      <c r="G2" s="2" t="s">
        <v>1</v>
      </c>
      <c r="H2" s="2" t="s">
        <v>2</v>
      </c>
      <c r="J2" s="2" t="s">
        <v>0</v>
      </c>
      <c r="K2" s="2" t="s">
        <v>1</v>
      </c>
      <c r="L2" s="2" t="s">
        <v>2</v>
      </c>
    </row>
    <row r="3" spans="2:12" x14ac:dyDescent="0.25">
      <c r="B3" s="5">
        <v>1004</v>
      </c>
      <c r="C3" s="6" t="e">
        <f>VLOOKUP(B3,F:H,2,0)</f>
        <v>#N/A</v>
      </c>
      <c r="F3" s="5">
        <v>1001</v>
      </c>
      <c r="G3" s="7" t="s">
        <v>3</v>
      </c>
      <c r="H3" s="7" t="s">
        <v>8</v>
      </c>
      <c r="J3" s="5">
        <v>1004</v>
      </c>
      <c r="K3" s="7" t="s">
        <v>28</v>
      </c>
      <c r="L3" s="7" t="s">
        <v>29</v>
      </c>
    </row>
    <row r="4" spans="2:12" x14ac:dyDescent="0.25">
      <c r="F4" s="5">
        <v>1002</v>
      </c>
      <c r="G4" s="7" t="s">
        <v>5</v>
      </c>
      <c r="H4" s="7" t="s">
        <v>9</v>
      </c>
      <c r="J4" s="5">
        <v>1007</v>
      </c>
      <c r="K4" s="7" t="s">
        <v>30</v>
      </c>
      <c r="L4" s="7" t="s">
        <v>29</v>
      </c>
    </row>
    <row r="5" spans="2:12" x14ac:dyDescent="0.25">
      <c r="F5" s="5">
        <v>1003</v>
      </c>
      <c r="G5" s="7" t="s">
        <v>4</v>
      </c>
      <c r="H5" s="7" t="s">
        <v>10</v>
      </c>
      <c r="J5" s="5">
        <v>1008</v>
      </c>
      <c r="K5" s="7" t="s">
        <v>31</v>
      </c>
      <c r="L5" s="7" t="s">
        <v>29</v>
      </c>
    </row>
    <row r="6" spans="2:12" x14ac:dyDescent="0.25">
      <c r="F6" s="5">
        <v>1005</v>
      </c>
      <c r="G6" s="7" t="s">
        <v>6</v>
      </c>
      <c r="H6" s="7" t="s">
        <v>11</v>
      </c>
    </row>
    <row r="7" spans="2:12" x14ac:dyDescent="0.25">
      <c r="F7" s="5">
        <v>1006</v>
      </c>
      <c r="G7" s="7" t="s">
        <v>7</v>
      </c>
      <c r="H7" s="7" t="s">
        <v>12</v>
      </c>
    </row>
    <row r="11" spans="2:12" x14ac:dyDescent="0.25">
      <c r="B11" t="s">
        <v>32</v>
      </c>
      <c r="C11" t="e">
        <f>VLOOKUP(B3,F:H,2,0)</f>
        <v>#N/A</v>
      </c>
    </row>
    <row r="12" spans="2:12" x14ac:dyDescent="0.25">
      <c r="B12" t="s">
        <v>33</v>
      </c>
      <c r="C12" t="str">
        <f>VLOOKUP(B3,J:L,2,0)</f>
        <v>Keziban Güzel</v>
      </c>
    </row>
    <row r="13" spans="2:12" x14ac:dyDescent="0.25">
      <c r="B13" t="s">
        <v>34</v>
      </c>
      <c r="C13" t="str">
        <f>IFERROR(VLOOKUP(B3,F:H,2,0),VLOOKUP(B3,J:L,2,0))</f>
        <v>Keziban Güzel</v>
      </c>
    </row>
    <row r="15" spans="2:12" x14ac:dyDescent="0.25">
      <c r="C15" s="20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CDB8-B06C-4DFD-93C2-9C0EE7EFBA90}">
  <dimension ref="B2:E18"/>
  <sheetViews>
    <sheetView showGridLines="0" workbookViewId="0">
      <selection activeCell="C13" sqref="C13"/>
    </sheetView>
  </sheetViews>
  <sheetFormatPr defaultRowHeight="15" x14ac:dyDescent="0.25"/>
  <cols>
    <col min="2" max="2" width="11.5703125" customWidth="1"/>
    <col min="3" max="3" width="11.5703125" style="22" customWidth="1"/>
    <col min="4" max="4" width="11.5703125" customWidth="1"/>
    <col min="5" max="5" width="30.140625" style="24" bestFit="1" customWidth="1"/>
  </cols>
  <sheetData>
    <row r="2" spans="2:5" ht="15.75" x14ac:dyDescent="0.25">
      <c r="B2" s="8" t="s">
        <v>36</v>
      </c>
      <c r="C2" s="21" t="s">
        <v>14</v>
      </c>
      <c r="D2" s="11" t="s">
        <v>15</v>
      </c>
      <c r="E2" s="23" t="s">
        <v>16</v>
      </c>
    </row>
    <row r="3" spans="2:5" x14ac:dyDescent="0.25">
      <c r="B3" s="10" t="s">
        <v>39</v>
      </c>
      <c r="C3" s="25">
        <v>15</v>
      </c>
      <c r="D3" s="13">
        <v>15000</v>
      </c>
      <c r="E3" s="27">
        <f>C3*D3</f>
        <v>225000</v>
      </c>
    </row>
    <row r="4" spans="2:5" x14ac:dyDescent="0.25">
      <c r="B4" s="3" t="s">
        <v>40</v>
      </c>
      <c r="C4" s="25">
        <v>4</v>
      </c>
      <c r="D4" s="13">
        <v>19000</v>
      </c>
      <c r="E4" s="27">
        <f t="shared" ref="E4:E10" si="0">C4*D4</f>
        <v>76000</v>
      </c>
    </row>
    <row r="5" spans="2:5" x14ac:dyDescent="0.25">
      <c r="B5" s="10" t="s">
        <v>41</v>
      </c>
      <c r="C5" s="25" t="s">
        <v>37</v>
      </c>
      <c r="D5" s="13">
        <v>13500</v>
      </c>
      <c r="E5" s="27" t="e">
        <f t="shared" si="0"/>
        <v>#VALUE!</v>
      </c>
    </row>
    <row r="6" spans="2:5" x14ac:dyDescent="0.25">
      <c r="B6" s="3" t="s">
        <v>42</v>
      </c>
      <c r="C6" s="25"/>
      <c r="D6" s="13"/>
      <c r="E6" s="27">
        <f t="shared" si="0"/>
        <v>0</v>
      </c>
    </row>
    <row r="7" spans="2:5" x14ac:dyDescent="0.25">
      <c r="B7" s="3" t="s">
        <v>43</v>
      </c>
      <c r="C7" s="25"/>
      <c r="D7" s="13"/>
      <c r="E7" s="27">
        <f t="shared" si="0"/>
        <v>0</v>
      </c>
    </row>
    <row r="8" spans="2:5" x14ac:dyDescent="0.25">
      <c r="B8" s="3" t="s">
        <v>44</v>
      </c>
      <c r="C8" s="25"/>
      <c r="D8" s="13"/>
      <c r="E8" s="27">
        <f t="shared" si="0"/>
        <v>0</v>
      </c>
    </row>
    <row r="9" spans="2:5" x14ac:dyDescent="0.25">
      <c r="B9" s="10" t="s">
        <v>44</v>
      </c>
      <c r="C9" s="25"/>
      <c r="D9" s="13"/>
      <c r="E9" s="27">
        <f t="shared" si="0"/>
        <v>0</v>
      </c>
    </row>
    <row r="10" spans="2:5" x14ac:dyDescent="0.25">
      <c r="B10" s="3" t="s">
        <v>45</v>
      </c>
      <c r="C10" s="25"/>
      <c r="D10" s="13"/>
      <c r="E10" s="27">
        <f t="shared" si="0"/>
        <v>0</v>
      </c>
    </row>
    <row r="15" spans="2:5" x14ac:dyDescent="0.25">
      <c r="E15" s="26">
        <f>IFERROR(C3*D3,"Adet ve Fiyat bilgisi tekrar yazın")</f>
        <v>225000</v>
      </c>
    </row>
    <row r="18" spans="5:5" x14ac:dyDescent="0.25">
      <c r="E18" s="2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Sayfa1</vt:lpstr>
      <vt:lpstr>Sayfa2</vt:lpstr>
      <vt:lpstr>Sayfa3</vt:lpstr>
      <vt:lpstr>Sayfa4</vt:lpstr>
      <vt:lpstr>Sayfa5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2021-04-03T08:56:16Z</dcterms:created>
  <dcterms:modified xsi:type="dcterms:W3CDTF">2021-04-04T11:19:21Z</dcterms:modified>
</cp:coreProperties>
</file>