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B3424952-9CAF-4EFE-90A4-DDB56185D2FE}" xr6:coauthVersionLast="46" xr6:coauthVersionMax="46" xr10:uidLastSave="{00000000-0000-0000-0000-000000000000}"/>
  <bookViews>
    <workbookView xWindow="-120" yWindow="-120" windowWidth="24240" windowHeight="13140" xr2:uid="{048498BC-2055-4B00-A45B-A3751706C591}"/>
  </bookViews>
  <sheets>
    <sheet name="Sayfa1" sheetId="1" r:id="rId1"/>
    <sheet name="Sayfa2" sheetId="2" r:id="rId2"/>
    <sheet name="Sayfa3" sheetId="3" r:id="rId3"/>
    <sheet name="Sayfa4" sheetId="5" r:id="rId4"/>
    <sheet name="Sayfa5" sheetId="8" r:id="rId5"/>
    <sheet name="Sayfa6" sheetId="6" r:id="rId6"/>
  </sheets>
  <definedNames>
    <definedName name="_xlnm._FilterDatabase" localSheetId="4" hidden="1">Sayfa5!$B$2:$C$7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6" l="1" a="1"/>
  <c r="M13" i="6" s="1"/>
  <c r="M14" i="6" a="1"/>
  <c r="M14" i="6"/>
  <c r="M15" i="6" a="1"/>
  <c r="M15" i="6" s="1"/>
  <c r="M16" i="6" a="1"/>
  <c r="M16" i="6"/>
  <c r="M12" i="6" a="1"/>
  <c r="M12" i="6" s="1"/>
  <c r="M4" i="6" a="1"/>
  <c r="M4" i="6" s="1"/>
  <c r="M5" i="6" a="1"/>
  <c r="M5" i="6"/>
  <c r="M6" i="6" a="1"/>
  <c r="M6" i="6" s="1"/>
  <c r="M7" i="6" a="1"/>
  <c r="M7" i="6"/>
  <c r="M3" i="6" a="1"/>
  <c r="M3" i="6" s="1"/>
  <c r="F3" i="8" a="1"/>
  <c r="F3" i="8" s="1"/>
  <c r="F4" i="8" a="1"/>
  <c r="F4" i="8" s="1"/>
  <c r="P4" i="5" a="1"/>
  <c r="P4" i="5" s="1"/>
  <c r="P3" i="5" a="1"/>
  <c r="P3" i="5" s="1"/>
  <c r="P5" i="5" a="1"/>
  <c r="P5" i="5"/>
  <c r="P6" i="5" a="1"/>
  <c r="P6" i="5" s="1"/>
  <c r="P7" i="5" a="1"/>
  <c r="P7" i="5"/>
  <c r="P8" i="5" a="1"/>
  <c r="P8" i="5" s="1"/>
  <c r="P9" i="5" a="1"/>
  <c r="P9" i="5" s="1"/>
  <c r="P10" i="5" a="1"/>
  <c r="P10" i="5" s="1"/>
  <c r="P11" i="5" a="1"/>
  <c r="P11" i="5"/>
  <c r="M7" i="3" a="1"/>
  <c r="M7" i="3" s="1"/>
  <c r="M6" i="3" a="1"/>
  <c r="M6" i="3" s="1"/>
  <c r="M5" i="3" a="1"/>
  <c r="M5" i="3" s="1"/>
  <c r="M4" i="3" a="1"/>
  <c r="M4" i="3" s="1"/>
  <c r="M3" i="3" a="1"/>
  <c r="M3" i="3" s="1"/>
  <c r="H7" i="2"/>
  <c r="H5" i="1"/>
  <c r="H4" i="2"/>
  <c r="E12" i="1"/>
  <c r="E3" i="1" l="1"/>
  <c r="E4" i="1"/>
  <c r="E5" i="1"/>
  <c r="E6" i="1"/>
  <c r="E7" i="1"/>
  <c r="E8" i="1"/>
  <c r="E9" i="1"/>
  <c r="E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<sst xmlns="http://schemas.openxmlformats.org/spreadsheetml/2006/main" count="191" uniqueCount="23">
  <si>
    <t>Tutar</t>
  </si>
  <si>
    <t>Fiyat</t>
  </si>
  <si>
    <t>Adet</t>
  </si>
  <si>
    <t>Ürün</t>
  </si>
  <si>
    <t>A Ürün</t>
  </si>
  <si>
    <t>B Ürün</t>
  </si>
  <si>
    <t>C Ürün</t>
  </si>
  <si>
    <t>D Ürün</t>
  </si>
  <si>
    <t>E Ürün</t>
  </si>
  <si>
    <t>F Ürün</t>
  </si>
  <si>
    <t>TOPLAM</t>
  </si>
  <si>
    <t>Farklı Kdv</t>
  </si>
  <si>
    <t>KDV Dahil Toplam</t>
  </si>
  <si>
    <t>Satın Alma Birim Fiyat</t>
  </si>
  <si>
    <t>Satış Fiyat</t>
  </si>
  <si>
    <t>Toplam Tutar</t>
  </si>
  <si>
    <t>Renk</t>
  </si>
  <si>
    <t>Kırmızı</t>
  </si>
  <si>
    <t>Siyah</t>
  </si>
  <si>
    <t>Mavi</t>
  </si>
  <si>
    <t>Toplam Adet</t>
  </si>
  <si>
    <t>Ağırlıklı Ortalama Maliyet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</si>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</sst>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* #,##0_-;\-* #,##0_-;_-* &quot;-&quot;??_-;_-@_-"/>
    <numFmt numFmtId="165" formatCode="_-* #,##0\ &quot;TL&quot;_-;\-* #,##0\ &quot;TL&quot;_-;_-* &quot;-&quot;??\ &quot;TL&quot;_-;_-@_-"/>
  </numFmts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44" fontId="0" fillId="0" borderId="0" xfId="2" applyFont="1"/>
    <xf numFmtId="164" fontId="0" fillId="0" borderId="0" xfId="1" applyNumberFormat="1" applyFont="1"/>
    <xf numFmtId="44" fontId="3" fillId="0" borderId="0" xfId="2" applyFont="1"/>
    <xf numFmtId="165" fontId="0" fillId="0" borderId="0" xfId="2" applyNumberFormat="1" applyFont="1"/>
    <xf numFmtId="165" fontId="2" fillId="0" borderId="1" xfId="2" applyNumberFormat="1" applyFont="1" applyFill="1" applyBorder="1" applyAlignment="1">
      <alignment horizontal="center" wrapText="1"/>
    </xf>
    <xf numFmtId="165" fontId="2" fillId="0" borderId="1" xfId="2" applyNumberFormat="1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44" fontId="5" fillId="2" borderId="1" xfId="2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3" xfId="0" applyFont="1" applyBorder="1"/>
    <xf numFmtId="165" fontId="6" fillId="0" borderId="3" xfId="2" applyNumberFormat="1" applyFont="1" applyBorder="1"/>
    <xf numFmtId="43" fontId="5" fillId="2" borderId="2" xfId="1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/>
    </xf>
    <xf numFmtId="43" fontId="0" fillId="0" borderId="0" xfId="1" applyFont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3" fontId="0" fillId="0" borderId="1" xfId="1" applyFont="1" applyBorder="1"/>
    <xf numFmtId="43" fontId="0" fillId="0" borderId="0" xfId="0" applyNumberFormat="1"/>
    <xf numFmtId="164" fontId="0" fillId="0" borderId="1" xfId="1" applyNumberFormat="1" applyFont="1" applyBorder="1"/>
    <xf numFmtId="0" fontId="5" fillId="2" borderId="1" xfId="0" applyFont="1" applyFill="1" applyBorder="1" applyAlignment="1">
      <alignment horizontal="center" vertical="center" wrapText="1"/>
    </xf>
    <xf numFmtId="43" fontId="2" fillId="0" borderId="1" xfId="1" applyFont="1" applyBorder="1"/>
    <xf numFmtId="14" fontId="4" fillId="0" borderId="1" xfId="0" applyNumberFormat="1" applyFont="1" applyBorder="1" applyAlignment="1">
      <alignment horizontal="center"/>
    </xf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8C0EB-4965-4D02-991B-6032E8C5C560}">
  <dimension ref="B2:H18"/>
  <sheetViews>
    <sheetView showGridLines="0" tabSelected="1" workbookViewId="0">
      <selection activeCell="D16" sqref="D16"/>
    </sheetView>
  </sheetViews>
  <sheetFormatPr defaultRowHeight="15" x14ac:dyDescent="0.25"/>
  <cols>
    <col min="1" max="1" width="5.42578125" customWidth="1"/>
    <col min="2" max="2" width="11.5703125" customWidth="1"/>
    <col min="3" max="3" width="11.5703125" style="2" customWidth="1"/>
    <col min="4" max="4" width="11.5703125" customWidth="1"/>
    <col min="5" max="5" width="11.28515625" style="1" bestFit="1" customWidth="1"/>
    <col min="8" max="8" width="13.5703125" customWidth="1"/>
  </cols>
  <sheetData>
    <row r="2" spans="2:8" ht="15.75" x14ac:dyDescent="0.25">
      <c r="B2" s="13" t="s">
        <v>3</v>
      </c>
      <c r="C2" s="12" t="s">
        <v>2</v>
      </c>
      <c r="D2" s="11" t="s">
        <v>1</v>
      </c>
      <c r="E2" s="10" t="s">
        <v>0</v>
      </c>
      <c r="G2" s="14" t="s">
        <v>10</v>
      </c>
      <c r="H2" s="15"/>
    </row>
    <row r="3" spans="2:8" x14ac:dyDescent="0.25">
      <c r="B3" s="9" t="s">
        <v>4</v>
      </c>
      <c r="C3" s="7">
        <v>15</v>
      </c>
      <c r="D3" s="6">
        <v>1500</v>
      </c>
      <c r="E3" s="5">
        <f>C3*D3</f>
        <v>22500</v>
      </c>
    </row>
    <row r="4" spans="2:8" x14ac:dyDescent="0.25">
      <c r="B4" s="8" t="s">
        <v>5</v>
      </c>
      <c r="C4" s="7">
        <v>4</v>
      </c>
      <c r="D4" s="6">
        <v>19000</v>
      </c>
      <c r="E4" s="5">
        <f>C4*D4</f>
        <v>76000</v>
      </c>
    </row>
    <row r="5" spans="2:8" x14ac:dyDescent="0.25">
      <c r="B5" s="9" t="s">
        <v>6</v>
      </c>
      <c r="C5" s="7">
        <v>10</v>
      </c>
      <c r="D5" s="6">
        <v>400</v>
      </c>
      <c r="E5" s="5">
        <f>C5*D5</f>
        <v>4000</v>
      </c>
      <c r="G5" s="14" t="s">
        <v>10</v>
      </c>
      <c r="H5" s="15">
        <f>SUMPRODUCT(C3:C10,D3:D10)</f>
        <v>162400</v>
      </c>
    </row>
    <row r="6" spans="2:8" x14ac:dyDescent="0.25">
      <c r="B6" s="8" t="s">
        <v>7</v>
      </c>
      <c r="C6" s="7">
        <v>2</v>
      </c>
      <c r="D6" s="6">
        <v>2000</v>
      </c>
      <c r="E6" s="5">
        <f>C6*D6</f>
        <v>4000</v>
      </c>
    </row>
    <row r="7" spans="2:8" x14ac:dyDescent="0.25">
      <c r="B7" s="8" t="s">
        <v>8</v>
      </c>
      <c r="C7" s="7">
        <v>4</v>
      </c>
      <c r="D7" s="6">
        <v>4000</v>
      </c>
      <c r="E7" s="5">
        <f>C7*D7</f>
        <v>16000</v>
      </c>
    </row>
    <row r="8" spans="2:8" x14ac:dyDescent="0.25">
      <c r="B8" s="8" t="s">
        <v>9</v>
      </c>
      <c r="C8" s="7">
        <v>15</v>
      </c>
      <c r="D8" s="6">
        <v>500</v>
      </c>
      <c r="E8" s="5">
        <f>C8*D8</f>
        <v>7500</v>
      </c>
    </row>
    <row r="9" spans="2:8" x14ac:dyDescent="0.25">
      <c r="B9" s="9" t="s">
        <v>4</v>
      </c>
      <c r="C9" s="7">
        <v>20</v>
      </c>
      <c r="D9" s="6">
        <v>1500</v>
      </c>
      <c r="E9" s="5">
        <f>C9*D9</f>
        <v>30000</v>
      </c>
    </row>
    <row r="10" spans="2:8" x14ac:dyDescent="0.25">
      <c r="B10" s="8" t="s">
        <v>6</v>
      </c>
      <c r="C10" s="7">
        <v>6</v>
      </c>
      <c r="D10" s="6">
        <v>400</v>
      </c>
      <c r="E10" s="5">
        <f>C10*D10</f>
        <v>2400</v>
      </c>
    </row>
    <row r="12" spans="2:8" x14ac:dyDescent="0.25">
      <c r="D12" s="14" t="s">
        <v>10</v>
      </c>
      <c r="E12" s="15">
        <f>SUM(E3:E11)</f>
        <v>162400</v>
      </c>
    </row>
    <row r="15" spans="2:8" x14ac:dyDescent="0.25">
      <c r="E15" s="4"/>
    </row>
    <row r="18" spans="3:5" x14ac:dyDescent="0.25">
      <c r="C18"/>
      <c r="E18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B390-14A1-4EF7-B499-96489C6DCAF9}">
  <dimension ref="B2:H10"/>
  <sheetViews>
    <sheetView showGridLines="0" workbookViewId="0">
      <selection activeCell="D25" sqref="D25"/>
    </sheetView>
  </sheetViews>
  <sheetFormatPr defaultRowHeight="15" x14ac:dyDescent="0.25"/>
  <cols>
    <col min="1" max="1" width="4.42578125" customWidth="1"/>
    <col min="2" max="4" width="11.5703125" customWidth="1"/>
    <col min="5" max="5" width="12.42578125" style="18" customWidth="1"/>
    <col min="7" max="7" width="18.7109375" bestFit="1" customWidth="1"/>
    <col min="8" max="8" width="12" customWidth="1"/>
  </cols>
  <sheetData>
    <row r="2" spans="2:8" ht="15.75" x14ac:dyDescent="0.25">
      <c r="B2" s="13" t="s">
        <v>3</v>
      </c>
      <c r="C2" s="12" t="s">
        <v>2</v>
      </c>
      <c r="D2" s="11" t="s">
        <v>1</v>
      </c>
      <c r="E2" s="16" t="s">
        <v>11</v>
      </c>
      <c r="G2" s="14" t="s">
        <v>12</v>
      </c>
      <c r="H2" s="15"/>
    </row>
    <row r="3" spans="2:8" x14ac:dyDescent="0.25">
      <c r="B3" s="9" t="s">
        <v>4</v>
      </c>
      <c r="C3" s="7">
        <v>15</v>
      </c>
      <c r="D3" s="6">
        <v>1500</v>
      </c>
      <c r="E3" s="17">
        <v>1.08</v>
      </c>
    </row>
    <row r="4" spans="2:8" x14ac:dyDescent="0.25">
      <c r="B4" s="8" t="s">
        <v>5</v>
      </c>
      <c r="C4" s="7">
        <v>4</v>
      </c>
      <c r="D4" s="6">
        <v>19000</v>
      </c>
      <c r="E4" s="17">
        <v>1.18</v>
      </c>
      <c r="G4" s="14" t="s">
        <v>10</v>
      </c>
      <c r="H4" s="15">
        <f>SUMPRODUCT(C3:C10,D3:D10)</f>
        <v>162400</v>
      </c>
    </row>
    <row r="5" spans="2:8" x14ac:dyDescent="0.25">
      <c r="B5" s="9" t="s">
        <v>6</v>
      </c>
      <c r="C5" s="7">
        <v>10</v>
      </c>
      <c r="D5" s="6">
        <v>400</v>
      </c>
      <c r="E5" s="17">
        <v>1.18</v>
      </c>
    </row>
    <row r="6" spans="2:8" x14ac:dyDescent="0.25">
      <c r="B6" s="8" t="s">
        <v>7</v>
      </c>
      <c r="C6" s="7">
        <v>2</v>
      </c>
      <c r="D6" s="6">
        <v>2000</v>
      </c>
      <c r="E6" s="17">
        <v>1.08</v>
      </c>
    </row>
    <row r="7" spans="2:8" x14ac:dyDescent="0.25">
      <c r="B7" s="8" t="s">
        <v>8</v>
      </c>
      <c r="C7" s="7">
        <v>4</v>
      </c>
      <c r="D7" s="6">
        <v>4000</v>
      </c>
      <c r="E7" s="17">
        <v>1.01</v>
      </c>
      <c r="G7" s="14" t="s">
        <v>12</v>
      </c>
      <c r="H7" s="15">
        <f>SUMPRODUCT(C3:C10,D3:D10,E3:E10)</f>
        <v>179887</v>
      </c>
    </row>
    <row r="8" spans="2:8" x14ac:dyDescent="0.25">
      <c r="B8" s="8" t="s">
        <v>9</v>
      </c>
      <c r="C8" s="7">
        <v>15</v>
      </c>
      <c r="D8" s="6">
        <v>500</v>
      </c>
      <c r="E8" s="17">
        <v>1.01</v>
      </c>
    </row>
    <row r="9" spans="2:8" x14ac:dyDescent="0.25">
      <c r="B9" s="9" t="s">
        <v>4</v>
      </c>
      <c r="C9" s="7">
        <v>20</v>
      </c>
      <c r="D9" s="6">
        <v>1500</v>
      </c>
      <c r="E9" s="17">
        <v>1.01</v>
      </c>
    </row>
    <row r="10" spans="2:8" x14ac:dyDescent="0.25">
      <c r="B10" s="8" t="s">
        <v>6</v>
      </c>
      <c r="C10" s="7">
        <v>6</v>
      </c>
      <c r="D10" s="6">
        <v>400</v>
      </c>
      <c r="E10" s="17">
        <v>1.18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0515-0BD2-42A7-A031-771294CC75AA}">
  <dimension ref="B2:M14"/>
  <sheetViews>
    <sheetView showGridLines="0" workbookViewId="0">
      <selection activeCell="G3" sqref="G3"/>
    </sheetView>
  </sheetViews>
  <sheetFormatPr defaultRowHeight="15" x14ac:dyDescent="0.25"/>
  <cols>
    <col min="1" max="1" width="4.42578125" customWidth="1"/>
    <col min="2" max="3" width="11.5703125" customWidth="1"/>
    <col min="4" max="4" width="12.28515625" customWidth="1"/>
    <col min="6" max="6" width="18.7109375" bestFit="1" customWidth="1"/>
    <col min="7" max="7" width="14.28515625" bestFit="1" customWidth="1"/>
    <col min="12" max="12" width="11.5703125" customWidth="1"/>
    <col min="13" max="13" width="14.28515625" bestFit="1" customWidth="1"/>
  </cols>
  <sheetData>
    <row r="2" spans="2:13" ht="15.75" x14ac:dyDescent="0.25">
      <c r="B2" s="13" t="s">
        <v>3</v>
      </c>
      <c r="C2" s="12" t="s">
        <v>2</v>
      </c>
      <c r="D2" s="19" t="s">
        <v>14</v>
      </c>
      <c r="F2" s="13" t="s">
        <v>3</v>
      </c>
      <c r="G2" s="13" t="s">
        <v>15</v>
      </c>
      <c r="L2" s="13" t="s">
        <v>3</v>
      </c>
      <c r="M2" s="13" t="s">
        <v>15</v>
      </c>
    </row>
    <row r="3" spans="2:13" x14ac:dyDescent="0.25">
      <c r="B3" s="9" t="s">
        <v>4</v>
      </c>
      <c r="C3" s="7">
        <v>15</v>
      </c>
      <c r="D3" s="6">
        <v>150</v>
      </c>
      <c r="F3" s="21" t="s">
        <v>4</v>
      </c>
      <c r="G3" s="23"/>
      <c r="L3" s="21" t="s">
        <v>4</v>
      </c>
      <c r="M3" s="23" cm="1">
        <f t="array" ref="M3">SUMPRODUCT(($B$3:$B$14=L3)*$C$3:$C$14,$D$3:$D$14)</f>
        <v>17750</v>
      </c>
    </row>
    <row r="4" spans="2:13" x14ac:dyDescent="0.25">
      <c r="B4" s="8" t="s">
        <v>5</v>
      </c>
      <c r="C4" s="7">
        <v>4</v>
      </c>
      <c r="D4" s="6">
        <v>190</v>
      </c>
      <c r="F4" s="22" t="s">
        <v>5</v>
      </c>
      <c r="G4" s="23"/>
      <c r="L4" s="22" t="s">
        <v>5</v>
      </c>
      <c r="M4" s="23" cm="1">
        <f t="array" ref="M4">SUMPRODUCT(($B$3:$B$14=L4)*$C$3:$C$14,$D$3:$D$14)</f>
        <v>13300</v>
      </c>
    </row>
    <row r="5" spans="2:13" x14ac:dyDescent="0.25">
      <c r="B5" s="9" t="s">
        <v>6</v>
      </c>
      <c r="C5" s="7">
        <v>10</v>
      </c>
      <c r="D5" s="6">
        <v>50</v>
      </c>
      <c r="F5" s="21" t="s">
        <v>6</v>
      </c>
      <c r="G5" s="23"/>
      <c r="L5" s="21" t="s">
        <v>6</v>
      </c>
      <c r="M5" s="23" cm="1">
        <f t="array" ref="M5">SUMPRODUCT(($B$3:$B$14=L5)*$C$3:$C$14,$D$3:$D$14)</f>
        <v>5500</v>
      </c>
    </row>
    <row r="6" spans="2:13" x14ac:dyDescent="0.25">
      <c r="B6" s="8" t="s">
        <v>7</v>
      </c>
      <c r="C6" s="7">
        <v>2</v>
      </c>
      <c r="D6" s="6">
        <v>100</v>
      </c>
      <c r="F6" s="22" t="s">
        <v>7</v>
      </c>
      <c r="G6" s="23"/>
      <c r="L6" s="22" t="s">
        <v>7</v>
      </c>
      <c r="M6" s="23" cm="1">
        <f t="array" ref="M6">SUMPRODUCT(($B$3:$B$14=L6)*$C$3:$C$14,$D$3:$D$14)</f>
        <v>200</v>
      </c>
    </row>
    <row r="7" spans="2:13" x14ac:dyDescent="0.25">
      <c r="B7" s="8" t="s">
        <v>8</v>
      </c>
      <c r="C7" s="7">
        <v>4</v>
      </c>
      <c r="D7" s="6">
        <v>120</v>
      </c>
      <c r="F7" s="22" t="s">
        <v>8</v>
      </c>
      <c r="G7" s="23"/>
      <c r="L7" s="22" t="s">
        <v>8</v>
      </c>
      <c r="M7" s="23" cm="1">
        <f t="array" ref="M7">SUMPRODUCT(($B$3:$B$14=L7)*$C$3:$C$14,$D$3:$D$14)</f>
        <v>480</v>
      </c>
    </row>
    <row r="8" spans="2:13" x14ac:dyDescent="0.25">
      <c r="B8" s="8" t="s">
        <v>4</v>
      </c>
      <c r="C8" s="7">
        <v>45</v>
      </c>
      <c r="D8" s="6">
        <v>130</v>
      </c>
    </row>
    <row r="9" spans="2:13" x14ac:dyDescent="0.25">
      <c r="B9" s="9" t="s">
        <v>4</v>
      </c>
      <c r="C9" s="7">
        <v>20</v>
      </c>
      <c r="D9" s="6">
        <v>170</v>
      </c>
    </row>
    <row r="10" spans="2:13" x14ac:dyDescent="0.25">
      <c r="B10" s="8" t="s">
        <v>6</v>
      </c>
      <c r="C10" s="7">
        <v>6</v>
      </c>
      <c r="D10" s="6">
        <v>60</v>
      </c>
    </row>
    <row r="11" spans="2:13" x14ac:dyDescent="0.25">
      <c r="B11" s="20" t="s">
        <v>5</v>
      </c>
      <c r="C11" s="7">
        <v>23</v>
      </c>
      <c r="D11" s="6">
        <v>180</v>
      </c>
    </row>
    <row r="12" spans="2:13" x14ac:dyDescent="0.25">
      <c r="B12" s="20" t="s">
        <v>5</v>
      </c>
      <c r="C12" s="7">
        <v>40</v>
      </c>
      <c r="D12" s="6">
        <v>210</v>
      </c>
    </row>
    <row r="13" spans="2:13" x14ac:dyDescent="0.25">
      <c r="B13" s="20" t="s">
        <v>6</v>
      </c>
      <c r="C13" s="7">
        <v>80</v>
      </c>
      <c r="D13" s="6">
        <v>58</v>
      </c>
    </row>
    <row r="14" spans="2:13" x14ac:dyDescent="0.25">
      <c r="B14" s="20" t="s">
        <v>4</v>
      </c>
      <c r="C14" s="7">
        <v>50</v>
      </c>
      <c r="D14" s="6">
        <v>125</v>
      </c>
    </row>
  </sheetData>
  <sortState xmlns:xlrd2="http://schemas.microsoft.com/office/spreadsheetml/2017/richdata2" ref="A3:D14">
    <sortCondition ref="A3:A1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EB19-4115-44FD-A251-559942A25363}">
  <dimension ref="B2:P21"/>
  <sheetViews>
    <sheetView showGridLines="0" topLeftCell="B1" workbookViewId="0">
      <selection activeCell="P5" sqref="P5"/>
    </sheetView>
  </sheetViews>
  <sheetFormatPr defaultRowHeight="15" x14ac:dyDescent="0.25"/>
  <cols>
    <col min="1" max="1" width="4.42578125" customWidth="1"/>
    <col min="2" max="4" width="11.5703125" customWidth="1"/>
    <col min="5" max="5" width="12.28515625" customWidth="1"/>
    <col min="7" max="7" width="18.7109375" bestFit="1" customWidth="1"/>
    <col min="8" max="8" width="18.7109375" customWidth="1"/>
    <col min="9" max="9" width="14.5703125" customWidth="1"/>
    <col min="14" max="14" width="18.7109375" bestFit="1" customWidth="1"/>
    <col min="15" max="15" width="18.7109375" customWidth="1"/>
    <col min="16" max="16" width="14.5703125" customWidth="1"/>
  </cols>
  <sheetData>
    <row r="2" spans="2:16" ht="15.75" x14ac:dyDescent="0.25">
      <c r="B2" s="13" t="s">
        <v>3</v>
      </c>
      <c r="C2" s="13" t="s">
        <v>16</v>
      </c>
      <c r="D2" s="12" t="s">
        <v>2</v>
      </c>
      <c r="E2" s="19" t="s">
        <v>14</v>
      </c>
      <c r="G2" s="13" t="s">
        <v>3</v>
      </c>
      <c r="H2" s="13" t="s">
        <v>16</v>
      </c>
      <c r="I2" s="13" t="s">
        <v>15</v>
      </c>
      <c r="N2" s="13" t="s">
        <v>3</v>
      </c>
      <c r="O2" s="13" t="s">
        <v>16</v>
      </c>
      <c r="P2" s="13" t="s">
        <v>15</v>
      </c>
    </row>
    <row r="3" spans="2:16" x14ac:dyDescent="0.25">
      <c r="B3" s="9" t="s">
        <v>4</v>
      </c>
      <c r="C3" s="9" t="s">
        <v>17</v>
      </c>
      <c r="D3" s="7">
        <v>15</v>
      </c>
      <c r="E3" s="6">
        <v>150</v>
      </c>
      <c r="G3" s="21" t="s">
        <v>4</v>
      </c>
      <c r="H3" s="21" t="s">
        <v>17</v>
      </c>
      <c r="I3" s="23"/>
      <c r="N3" s="21" t="s">
        <v>4</v>
      </c>
      <c r="O3" s="21" t="s">
        <v>17</v>
      </c>
      <c r="P3" s="23" cm="1">
        <f t="array" ref="P3">SUMPRODUCT(($B$3:$B$21=N3)*($C$3:$C$21=O3)*$D$3:$D$21,$E$3:$E$21)</f>
        <v>5550</v>
      </c>
    </row>
    <row r="4" spans="2:16" x14ac:dyDescent="0.25">
      <c r="B4" s="8" t="s">
        <v>5</v>
      </c>
      <c r="C4" s="9" t="s">
        <v>17</v>
      </c>
      <c r="D4" s="7">
        <v>4</v>
      </c>
      <c r="E4" s="6">
        <v>190</v>
      </c>
      <c r="G4" s="22" t="s">
        <v>4</v>
      </c>
      <c r="H4" s="22" t="s">
        <v>18</v>
      </c>
      <c r="I4" s="23"/>
      <c r="N4" s="22" t="s">
        <v>4</v>
      </c>
      <c r="O4" s="22" t="s">
        <v>18</v>
      </c>
      <c r="P4" s="23" cm="1">
        <f t="array" ref="P4">SUMPRODUCT(($B$3:$B$21=N4)*($C$3:$C$21=O4)*$D$3:$D$21,$E$3:$E$21)</f>
        <v>11700</v>
      </c>
    </row>
    <row r="5" spans="2:16" x14ac:dyDescent="0.25">
      <c r="B5" s="9" t="s">
        <v>6</v>
      </c>
      <c r="C5" s="9" t="s">
        <v>17</v>
      </c>
      <c r="D5" s="7">
        <v>10</v>
      </c>
      <c r="E5" s="6">
        <v>50</v>
      </c>
      <c r="G5" s="21" t="s">
        <v>4</v>
      </c>
      <c r="H5" s="21" t="s">
        <v>19</v>
      </c>
      <c r="I5" s="23"/>
      <c r="N5" s="21" t="s">
        <v>4</v>
      </c>
      <c r="O5" s="21" t="s">
        <v>19</v>
      </c>
      <c r="P5" s="23" cm="1">
        <f t="array" ref="P5">SUMPRODUCT(($B$3:$B$21=N5)*($C$3:$C$21=O5)*$D$3:$D$21,$E$3:$E$21)</f>
        <v>13050</v>
      </c>
    </row>
    <row r="6" spans="2:16" x14ac:dyDescent="0.25">
      <c r="B6" s="8" t="s">
        <v>7</v>
      </c>
      <c r="C6" s="8" t="s">
        <v>18</v>
      </c>
      <c r="D6" s="7">
        <v>2</v>
      </c>
      <c r="E6" s="6">
        <v>100</v>
      </c>
      <c r="G6" s="22" t="s">
        <v>5</v>
      </c>
      <c r="H6" s="22" t="s">
        <v>17</v>
      </c>
      <c r="I6" s="23"/>
      <c r="N6" s="22" t="s">
        <v>5</v>
      </c>
      <c r="O6" s="22" t="s">
        <v>17</v>
      </c>
      <c r="P6" s="23" cm="1">
        <f t="array" ref="P6">SUMPRODUCT(($B$3:$B$21=N6)*($C$3:$C$21=O6)*$D$3:$D$21,$E$3:$E$21)</f>
        <v>11210</v>
      </c>
    </row>
    <row r="7" spans="2:16" x14ac:dyDescent="0.25">
      <c r="B7" s="8" t="s">
        <v>8</v>
      </c>
      <c r="C7" s="8" t="s">
        <v>18</v>
      </c>
      <c r="D7" s="7">
        <v>4</v>
      </c>
      <c r="E7" s="6">
        <v>120</v>
      </c>
      <c r="G7" s="22" t="s">
        <v>5</v>
      </c>
      <c r="H7" s="22" t="s">
        <v>19</v>
      </c>
      <c r="I7" s="23"/>
      <c r="N7" s="22" t="s">
        <v>5</v>
      </c>
      <c r="O7" s="22" t="s">
        <v>19</v>
      </c>
      <c r="P7" s="23" cm="1">
        <f t="array" ref="P7">SUMPRODUCT(($B$3:$B$21=N7)*($C$3:$C$21=O7)*$D$3:$D$21,$E$3:$E$21)</f>
        <v>12540</v>
      </c>
    </row>
    <row r="8" spans="2:16" x14ac:dyDescent="0.25">
      <c r="B8" s="8" t="s">
        <v>4</v>
      </c>
      <c r="C8" s="8" t="s">
        <v>18</v>
      </c>
      <c r="D8" s="7">
        <v>45</v>
      </c>
      <c r="E8" s="6">
        <v>130</v>
      </c>
      <c r="G8" s="22" t="s">
        <v>6</v>
      </c>
      <c r="H8" s="22" t="s">
        <v>17</v>
      </c>
      <c r="I8" s="23"/>
      <c r="N8" s="22" t="s">
        <v>6</v>
      </c>
      <c r="O8" s="22" t="s">
        <v>17</v>
      </c>
      <c r="P8" s="23" cm="1">
        <f t="array" ref="P8">SUMPRODUCT(($B$3:$B$21=N8)*($C$3:$C$21=O8)*$D$3:$D$21,$E$3:$E$21)</f>
        <v>800</v>
      </c>
    </row>
    <row r="9" spans="2:16" x14ac:dyDescent="0.25">
      <c r="B9" s="9" t="s">
        <v>4</v>
      </c>
      <c r="C9" s="9" t="s">
        <v>19</v>
      </c>
      <c r="D9" s="7">
        <v>20</v>
      </c>
      <c r="E9" s="6">
        <v>170</v>
      </c>
      <c r="G9" s="22" t="s">
        <v>6</v>
      </c>
      <c r="H9" s="22" t="s">
        <v>19</v>
      </c>
      <c r="I9" s="23"/>
      <c r="N9" s="22" t="s">
        <v>6</v>
      </c>
      <c r="O9" s="22" t="s">
        <v>19</v>
      </c>
      <c r="P9" s="23" cm="1">
        <f t="array" ref="P9">SUMPRODUCT(($B$3:$B$21=N9)*($C$3:$C$21=O9)*$D$3:$D$21,$E$3:$E$21)</f>
        <v>5000</v>
      </c>
    </row>
    <row r="10" spans="2:16" x14ac:dyDescent="0.25">
      <c r="B10" s="8" t="s">
        <v>6</v>
      </c>
      <c r="C10" s="9" t="s">
        <v>19</v>
      </c>
      <c r="D10" s="7">
        <v>6</v>
      </c>
      <c r="E10" s="6">
        <v>60</v>
      </c>
      <c r="G10" s="22" t="s">
        <v>7</v>
      </c>
      <c r="H10" s="22" t="s">
        <v>18</v>
      </c>
      <c r="I10" s="23"/>
      <c r="N10" s="22" t="s">
        <v>7</v>
      </c>
      <c r="O10" s="22" t="s">
        <v>18</v>
      </c>
      <c r="P10" s="23" cm="1">
        <f t="array" ref="P10">SUMPRODUCT(($B$3:$B$21=N10)*($C$3:$C$21=O10)*$D$3:$D$21,$E$3:$E$21)</f>
        <v>4700</v>
      </c>
    </row>
    <row r="11" spans="2:16" x14ac:dyDescent="0.25">
      <c r="B11" s="20" t="s">
        <v>5</v>
      </c>
      <c r="C11" s="9" t="s">
        <v>19</v>
      </c>
      <c r="D11" s="7">
        <v>23</v>
      </c>
      <c r="E11" s="6">
        <v>180</v>
      </c>
      <c r="G11" s="22" t="s">
        <v>8</v>
      </c>
      <c r="H11" s="22" t="s">
        <v>18</v>
      </c>
      <c r="I11" s="23"/>
      <c r="N11" s="22" t="s">
        <v>8</v>
      </c>
      <c r="O11" s="22" t="s">
        <v>18</v>
      </c>
      <c r="P11" s="23" cm="1">
        <f t="array" ref="P11">SUMPRODUCT(($B$3:$B$21=N11)*($C$3:$C$21=O11)*$D$3:$D$21,$E$3:$E$21)</f>
        <v>6960</v>
      </c>
    </row>
    <row r="12" spans="2:16" x14ac:dyDescent="0.25">
      <c r="B12" s="20" t="s">
        <v>5</v>
      </c>
      <c r="C12" s="9" t="s">
        <v>19</v>
      </c>
      <c r="D12" s="7">
        <v>40</v>
      </c>
      <c r="E12" s="6">
        <v>210</v>
      </c>
    </row>
    <row r="13" spans="2:16" x14ac:dyDescent="0.25">
      <c r="B13" s="20" t="s">
        <v>6</v>
      </c>
      <c r="C13" s="9" t="s">
        <v>19</v>
      </c>
      <c r="D13" s="7">
        <v>80</v>
      </c>
      <c r="E13" s="6">
        <v>58</v>
      </c>
    </row>
    <row r="14" spans="2:16" x14ac:dyDescent="0.25">
      <c r="B14" s="20" t="s">
        <v>4</v>
      </c>
      <c r="C14" s="9" t="s">
        <v>19</v>
      </c>
      <c r="D14" s="7">
        <v>50</v>
      </c>
      <c r="E14" s="6">
        <v>125</v>
      </c>
    </row>
    <row r="15" spans="2:16" x14ac:dyDescent="0.25">
      <c r="B15" s="9" t="s">
        <v>4</v>
      </c>
      <c r="C15" s="9" t="s">
        <v>17</v>
      </c>
      <c r="D15" s="7">
        <v>22</v>
      </c>
      <c r="E15" s="6">
        <v>150</v>
      </c>
    </row>
    <row r="16" spans="2:16" x14ac:dyDescent="0.25">
      <c r="B16" s="8" t="s">
        <v>5</v>
      </c>
      <c r="C16" s="9" t="s">
        <v>17</v>
      </c>
      <c r="D16" s="7">
        <v>55</v>
      </c>
      <c r="E16" s="6">
        <v>190</v>
      </c>
    </row>
    <row r="17" spans="2:5" x14ac:dyDescent="0.25">
      <c r="B17" s="9" t="s">
        <v>6</v>
      </c>
      <c r="C17" s="9" t="s">
        <v>17</v>
      </c>
      <c r="D17" s="7">
        <v>6</v>
      </c>
      <c r="E17" s="6">
        <v>50</v>
      </c>
    </row>
    <row r="18" spans="2:5" x14ac:dyDescent="0.25">
      <c r="B18" s="8" t="s">
        <v>7</v>
      </c>
      <c r="C18" s="8" t="s">
        <v>18</v>
      </c>
      <c r="D18" s="7">
        <v>45</v>
      </c>
      <c r="E18" s="6">
        <v>100</v>
      </c>
    </row>
    <row r="19" spans="2:5" x14ac:dyDescent="0.25">
      <c r="B19" s="8" t="s">
        <v>8</v>
      </c>
      <c r="C19" s="8" t="s">
        <v>18</v>
      </c>
      <c r="D19" s="7">
        <v>54</v>
      </c>
      <c r="E19" s="6">
        <v>120</v>
      </c>
    </row>
    <row r="20" spans="2:5" x14ac:dyDescent="0.25">
      <c r="B20" s="8" t="s">
        <v>4</v>
      </c>
      <c r="C20" s="8" t="s">
        <v>18</v>
      </c>
      <c r="D20" s="7">
        <v>45</v>
      </c>
      <c r="E20" s="6">
        <v>130</v>
      </c>
    </row>
    <row r="21" spans="2:5" x14ac:dyDescent="0.25">
      <c r="B21" s="9" t="s">
        <v>4</v>
      </c>
      <c r="C21" s="9" t="s">
        <v>19</v>
      </c>
      <c r="D21" s="7">
        <v>20</v>
      </c>
      <c r="E21" s="6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ACC4-1E4E-42B6-9B1E-97C6D883DA0C}">
  <dimension ref="B2:F7"/>
  <sheetViews>
    <sheetView showGridLines="0" workbookViewId="0">
      <selection activeCell="F3" sqref="F3"/>
    </sheetView>
  </sheetViews>
  <sheetFormatPr defaultRowHeight="15" x14ac:dyDescent="0.25"/>
  <cols>
    <col min="1" max="1" width="4.42578125" customWidth="1"/>
    <col min="2" max="3" width="11.5703125" customWidth="1"/>
    <col min="5" max="5" width="18.7109375" bestFit="1" customWidth="1"/>
    <col min="6" max="6" width="14.28515625" bestFit="1" customWidth="1"/>
  </cols>
  <sheetData>
    <row r="2" spans="2:6" ht="15.75" x14ac:dyDescent="0.25">
      <c r="B2" s="13" t="s">
        <v>3</v>
      </c>
      <c r="C2" s="12" t="s">
        <v>2</v>
      </c>
      <c r="E2" s="13" t="s">
        <v>3</v>
      </c>
      <c r="F2" s="13" t="s">
        <v>20</v>
      </c>
    </row>
    <row r="3" spans="2:6" x14ac:dyDescent="0.25">
      <c r="B3" s="9" t="s">
        <v>4</v>
      </c>
      <c r="C3" s="7">
        <v>15</v>
      </c>
      <c r="E3" s="21" t="s">
        <v>4</v>
      </c>
      <c r="F3" s="25" cm="1">
        <f t="array" ref="F3">SUMPRODUCT(($B$3:$B$7=E3)*$C$3:$C$7)</f>
        <v>27</v>
      </c>
    </row>
    <row r="4" spans="2:6" x14ac:dyDescent="0.25">
      <c r="B4" s="8" t="s">
        <v>5</v>
      </c>
      <c r="C4" s="7">
        <v>4</v>
      </c>
      <c r="E4" s="22" t="s">
        <v>5</v>
      </c>
      <c r="F4" s="25" cm="1">
        <f t="array" ref="F4">SUMPRODUCT(($B$3:$B$7=E4)*$C$3:$C$7)</f>
        <v>8</v>
      </c>
    </row>
    <row r="5" spans="2:6" x14ac:dyDescent="0.25">
      <c r="B5" s="9" t="s">
        <v>4</v>
      </c>
      <c r="C5" s="7">
        <v>10</v>
      </c>
    </row>
    <row r="6" spans="2:6" x14ac:dyDescent="0.25">
      <c r="B6" s="8" t="s">
        <v>4</v>
      </c>
      <c r="C6" s="7">
        <v>2</v>
      </c>
    </row>
    <row r="7" spans="2:6" x14ac:dyDescent="0.25">
      <c r="B7" s="8" t="s">
        <v>5</v>
      </c>
      <c r="C7" s="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AB7E-FF1A-4CB9-9020-A00F22A7CE4D}">
  <dimension ref="B2:M16"/>
  <sheetViews>
    <sheetView showGridLines="0" workbookViewId="0">
      <selection activeCell="H3" sqref="H3"/>
    </sheetView>
  </sheetViews>
  <sheetFormatPr defaultRowHeight="15" x14ac:dyDescent="0.25"/>
  <cols>
    <col min="1" max="1" width="4.42578125" customWidth="1"/>
    <col min="2" max="4" width="11.5703125" customWidth="1"/>
    <col min="5" max="5" width="12.28515625" customWidth="1"/>
    <col min="7" max="7" width="18.7109375" bestFit="1" customWidth="1"/>
    <col min="8" max="8" width="19.7109375" customWidth="1"/>
    <col min="12" max="12" width="18.7109375" bestFit="1" customWidth="1"/>
    <col min="13" max="13" width="19.7109375" customWidth="1"/>
  </cols>
  <sheetData>
    <row r="2" spans="2:13" ht="31.5" x14ac:dyDescent="0.25">
      <c r="B2" s="13" t="s">
        <v>3</v>
      </c>
      <c r="C2" s="13" t="s">
        <v>22</v>
      </c>
      <c r="D2" s="12" t="s">
        <v>2</v>
      </c>
      <c r="E2" s="19" t="s">
        <v>13</v>
      </c>
      <c r="G2" s="13" t="s">
        <v>3</v>
      </c>
      <c r="H2" s="26" t="s">
        <v>21</v>
      </c>
      <c r="L2" s="13" t="s">
        <v>3</v>
      </c>
      <c r="M2" s="26" t="s">
        <v>21</v>
      </c>
    </row>
    <row r="3" spans="2:13" x14ac:dyDescent="0.25">
      <c r="B3" s="9" t="s">
        <v>4</v>
      </c>
      <c r="C3" s="28">
        <v>44289</v>
      </c>
      <c r="D3" s="7">
        <v>15</v>
      </c>
      <c r="E3" s="6">
        <v>15</v>
      </c>
      <c r="G3" s="21" t="s">
        <v>4</v>
      </c>
      <c r="H3" s="27"/>
      <c r="K3" s="24"/>
      <c r="L3" s="21" t="s">
        <v>4</v>
      </c>
      <c r="M3" s="27" cm="1">
        <f t="array" ref="M3">SUMPRODUCT(($B$3:$B$14=L3)*$D$3:$D$14,$E$3:$E$14)/SUMPRODUCT(($B$3:$B$14=L3)*D3:D14)</f>
        <v>13.653846153846153</v>
      </c>
    </row>
    <row r="4" spans="2:13" x14ac:dyDescent="0.25">
      <c r="B4" s="8" t="s">
        <v>5</v>
      </c>
      <c r="C4" s="28">
        <v>44290</v>
      </c>
      <c r="D4" s="7">
        <v>4</v>
      </c>
      <c r="E4" s="6">
        <v>19</v>
      </c>
      <c r="G4" s="22" t="s">
        <v>5</v>
      </c>
      <c r="H4" s="27"/>
      <c r="K4" s="24"/>
      <c r="L4" s="22" t="s">
        <v>5</v>
      </c>
      <c r="M4" s="27" cm="1">
        <f t="array" ref="M4">SUMPRODUCT(($B$3:$B$14=L4)*$D$3:$D$14,$E$3:$E$14)/SUMPRODUCT(($B$3:$B$14=L4)*D4:D15)</f>
        <v>10.23076923076923</v>
      </c>
    </row>
    <row r="5" spans="2:13" x14ac:dyDescent="0.25">
      <c r="B5" s="9" t="s">
        <v>6</v>
      </c>
      <c r="C5" s="28">
        <v>44291</v>
      </c>
      <c r="D5" s="7">
        <v>10</v>
      </c>
      <c r="E5" s="6">
        <v>5</v>
      </c>
      <c r="G5" s="21" t="s">
        <v>6</v>
      </c>
      <c r="H5" s="27"/>
      <c r="K5" s="24"/>
      <c r="L5" s="21" t="s">
        <v>6</v>
      </c>
      <c r="M5" s="27" cm="1">
        <f t="array" ref="M5">SUMPRODUCT(($B$3:$B$14=L5)*$D$3:$D$14,$E$3:$E$14)/SUMPRODUCT(($B$3:$B$14=L5)*D5:D16)</f>
        <v>12.5</v>
      </c>
    </row>
    <row r="6" spans="2:13" x14ac:dyDescent="0.25">
      <c r="B6" s="8" t="s">
        <v>7</v>
      </c>
      <c r="C6" s="28">
        <v>44292</v>
      </c>
      <c r="D6" s="7">
        <v>2</v>
      </c>
      <c r="E6" s="6">
        <v>10</v>
      </c>
      <c r="G6" s="22" t="s">
        <v>7</v>
      </c>
      <c r="H6" s="27"/>
      <c r="K6" s="24"/>
      <c r="L6" s="22" t="s">
        <v>7</v>
      </c>
      <c r="M6" s="27" cm="1">
        <f t="array" ref="M6">SUMPRODUCT(($B$3:$B$14=L6)*$D$3:$D$14,$E$3:$E$14)/SUMPRODUCT(($B$3:$B$14=L6)*D6:D17)</f>
        <v>1</v>
      </c>
    </row>
    <row r="7" spans="2:13" x14ac:dyDescent="0.25">
      <c r="B7" s="8" t="s">
        <v>8</v>
      </c>
      <c r="C7" s="28">
        <v>44293</v>
      </c>
      <c r="D7" s="7">
        <v>4</v>
      </c>
      <c r="E7" s="6">
        <v>12</v>
      </c>
      <c r="G7" s="22" t="s">
        <v>8</v>
      </c>
      <c r="H7" s="27"/>
      <c r="K7" s="24"/>
      <c r="L7" s="22" t="s">
        <v>8</v>
      </c>
      <c r="M7" s="27" cm="1">
        <f t="array" ref="M7">SUMPRODUCT(($B$3:$B$14=L7)*$D$3:$D$14,$E$3:$E$14)/SUMPRODUCT(($B$3:$B$14=L7)*D7:D18)</f>
        <v>2.0869565217391304</v>
      </c>
    </row>
    <row r="8" spans="2:13" x14ac:dyDescent="0.25">
      <c r="B8" s="8" t="s">
        <v>4</v>
      </c>
      <c r="C8" s="28">
        <v>44294</v>
      </c>
      <c r="D8" s="7">
        <v>45</v>
      </c>
      <c r="E8" s="6">
        <v>13</v>
      </c>
    </row>
    <row r="9" spans="2:13" x14ac:dyDescent="0.25">
      <c r="B9" s="9" t="s">
        <v>4</v>
      </c>
      <c r="C9" s="28">
        <v>44295</v>
      </c>
      <c r="D9" s="7">
        <v>20</v>
      </c>
      <c r="E9" s="6">
        <v>17</v>
      </c>
    </row>
    <row r="10" spans="2:13" x14ac:dyDescent="0.25">
      <c r="B10" s="8" t="s">
        <v>6</v>
      </c>
      <c r="C10" s="28">
        <v>44296</v>
      </c>
      <c r="D10" s="7">
        <v>6</v>
      </c>
      <c r="E10" s="6">
        <v>6</v>
      </c>
    </row>
    <row r="11" spans="2:13" ht="31.5" x14ac:dyDescent="0.25">
      <c r="B11" s="20" t="s">
        <v>5</v>
      </c>
      <c r="C11" s="28">
        <v>44297</v>
      </c>
      <c r="D11" s="7">
        <v>23</v>
      </c>
      <c r="E11" s="6">
        <v>18</v>
      </c>
      <c r="L11" s="13" t="s">
        <v>3</v>
      </c>
      <c r="M11" s="26" t="s">
        <v>21</v>
      </c>
    </row>
    <row r="12" spans="2:13" x14ac:dyDescent="0.25">
      <c r="B12" s="20" t="s">
        <v>5</v>
      </c>
      <c r="C12" s="28">
        <v>44298</v>
      </c>
      <c r="D12" s="7">
        <v>40</v>
      </c>
      <c r="E12" s="6">
        <v>21</v>
      </c>
      <c r="L12" s="21" t="s">
        <v>4</v>
      </c>
      <c r="M12" s="27" cm="1">
        <f t="array" ref="M12">SUMPRODUCT(($B$3:$B$14=L12)*$D$3:$D$14,$E$3:$E$14)/SUMIF($B$3:$B$14,L12,$D$3:$D$14)</f>
        <v>13.653846153846153</v>
      </c>
    </row>
    <row r="13" spans="2:13" x14ac:dyDescent="0.25">
      <c r="B13" s="20" t="s">
        <v>6</v>
      </c>
      <c r="C13" s="28">
        <v>44299</v>
      </c>
      <c r="D13" s="7">
        <v>80</v>
      </c>
      <c r="E13" s="6">
        <v>5.8</v>
      </c>
      <c r="L13" s="22" t="s">
        <v>5</v>
      </c>
      <c r="M13" s="27" cm="1">
        <f t="array" ref="M13">SUMPRODUCT(($B$3:$B$14=L13)*$D$3:$D$14,$E$3:$E$14)/SUMIF($B$3:$B$14,L13,$D$3:$D$14)</f>
        <v>19.850746268656717</v>
      </c>
    </row>
    <row r="14" spans="2:13" x14ac:dyDescent="0.25">
      <c r="B14" s="20" t="s">
        <v>4</v>
      </c>
      <c r="C14" s="28">
        <v>44300</v>
      </c>
      <c r="D14" s="7">
        <v>50</v>
      </c>
      <c r="E14" s="6">
        <v>12.5</v>
      </c>
      <c r="L14" s="21" t="s">
        <v>6</v>
      </c>
      <c r="M14" s="27" cm="1">
        <f t="array" ref="M14">SUMPRODUCT(($B$3:$B$14=L14)*$D$3:$D$14,$E$3:$E$14)/SUMIF($B$3:$B$14,L14,$D$3:$D$14)</f>
        <v>5.729166666666667</v>
      </c>
    </row>
    <row r="15" spans="2:13" x14ac:dyDescent="0.25">
      <c r="L15" s="22" t="s">
        <v>7</v>
      </c>
      <c r="M15" s="27" cm="1">
        <f t="array" ref="M15">SUMPRODUCT(($B$3:$B$14=L15)*$D$3:$D$14,$E$3:$E$14)/SUMIF($B$3:$B$14,L15,$D$3:$D$14)</f>
        <v>10</v>
      </c>
    </row>
    <row r="16" spans="2:13" x14ac:dyDescent="0.25">
      <c r="L16" s="22" t="s">
        <v>8</v>
      </c>
      <c r="M16" s="27" cm="1">
        <f t="array" ref="M16">SUMPRODUCT(($B$3:$B$14=L16)*$D$3:$D$14,$E$3:$E$14)/SUMIF($B$3:$B$14,L16,$D$3:$D$14)</f>
        <v>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Sayfa1</vt:lpstr>
      <vt:lpstr>Sayfa2</vt:lpstr>
      <vt:lpstr>Sayfa3</vt:lpstr>
      <vt:lpstr>Sayfa4</vt:lpstr>
      <vt:lpstr>Sayfa5</vt:lpstr>
      <vt:lpstr>Sayfa6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2021-04-03T13:25:33Z</dcterms:created>
  <dcterms:modified xsi:type="dcterms:W3CDTF">2021-04-03T21:07:41Z</dcterms:modified>
</cp:coreProperties>
</file>