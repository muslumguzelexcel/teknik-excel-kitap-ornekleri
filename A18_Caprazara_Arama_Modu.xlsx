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4B254A1-BBCF-4D67-B999-AD9CE58CF67C}" xr6:coauthVersionLast="46" xr6:coauthVersionMax="46" xr10:uidLastSave="{00000000-0000-0000-0000-000000000000}"/>
  <bookViews>
    <workbookView xWindow="-120" yWindow="-120" windowWidth="24240" windowHeight="13140" xr2:uid="{BCC0620E-8EEE-4504-B0D4-BE293C4CEEA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K18" i="1"/>
  <c r="K19" i="1"/>
  <c r="K20" i="1"/>
  <c r="K16" i="1"/>
  <c r="J17" i="1"/>
  <c r="J18" i="1"/>
  <c r="J19" i="1"/>
  <c r="J20" i="1"/>
  <c r="J16" i="1"/>
  <c r="I20" i="1"/>
  <c r="I19" i="1"/>
  <c r="I18" i="1"/>
  <c r="I17" i="1"/>
  <c r="I16" i="1"/>
  <c r="I4" i="1"/>
  <c r="I5" i="1"/>
  <c r="I6" i="1"/>
  <c r="I7" i="1"/>
  <c r="I3" i="1"/>
</calcChain>
</file>

<file path=xl/sharedStrings.xml><?xml version="1.0" encoding="utf-8"?>
<sst xmlns="http://schemas.openxmlformats.org/spreadsheetml/2006/main" count="47" uniqueCount="16">
  <si>
    <t>Ürün</t>
  </si>
  <si>
    <t>Tarih</t>
  </si>
  <si>
    <t>Adet</t>
  </si>
  <si>
    <t>Satın Alma Birim Fiyat</t>
  </si>
  <si>
    <t>A Ürün</t>
  </si>
  <si>
    <t>B Ürün</t>
  </si>
  <si>
    <t>C Ürün</t>
  </si>
  <si>
    <t>D Ürün</t>
  </si>
  <si>
    <t>E Ürün</t>
  </si>
  <si>
    <t>Ürün Kodu</t>
  </si>
  <si>
    <t>U101</t>
  </si>
  <si>
    <t>U102</t>
  </si>
  <si>
    <t>U103</t>
  </si>
  <si>
    <t>U104</t>
  </si>
  <si>
    <t>U105</t>
  </si>
  <si>
    <t>Son Satın Alınan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</si>
</sst>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7" formatCode="[$-F800]dddd\,\ mmmm\ dd\,\ yyyy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43" fontId="2" fillId="0" borderId="1" xfId="1" applyFont="1" applyBorder="1"/>
    <xf numFmtId="43" fontId="0" fillId="0" borderId="0" xfId="0" applyNumberForma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2" fillId="3" borderId="1" xfId="1" applyNumberFormat="1" applyFont="1" applyFill="1" applyBorder="1" applyAlignment="1">
      <alignment horizontal="right"/>
    </xf>
    <xf numFmtId="44" fontId="2" fillId="3" borderId="1" xfId="2" applyFont="1" applyFill="1" applyBorder="1" applyAlignment="1">
      <alignment horizontal="center"/>
    </xf>
    <xf numFmtId="44" fontId="2" fillId="0" borderId="1" xfId="2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/>
    <xf numFmtId="164" fontId="0" fillId="0" borderId="0" xfId="1" applyNumberFormat="1" applyFont="1"/>
    <xf numFmtId="167" fontId="3" fillId="2" borderId="1" xfId="1" applyNumberFormat="1" applyFont="1" applyFill="1" applyBorder="1" applyAlignment="1">
      <alignment horizontal="center" vertical="center" wrapText="1"/>
    </xf>
    <xf numFmtId="167" fontId="2" fillId="0" borderId="1" xfId="1" applyNumberFormat="1" applyFont="1" applyBorder="1"/>
    <xf numFmtId="167" fontId="0" fillId="0" borderId="0" xfId="0" applyNumberForma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0279-738D-42E1-B3B5-57867EA7E4E9}">
  <dimension ref="B2:L20"/>
  <sheetViews>
    <sheetView showGridLines="0" tabSelected="1" workbookViewId="0">
      <selection activeCell="J9" sqref="J9"/>
    </sheetView>
  </sheetViews>
  <sheetFormatPr defaultRowHeight="15" x14ac:dyDescent="0.25"/>
  <cols>
    <col min="1" max="1" width="4.42578125" customWidth="1"/>
    <col min="2" max="5" width="11.5703125" customWidth="1"/>
    <col min="6" max="6" width="25.5703125" customWidth="1"/>
    <col min="8" max="8" width="18.7109375" bestFit="1" customWidth="1"/>
    <col min="9" max="9" width="25.28515625" customWidth="1"/>
    <col min="10" max="10" width="9.140625" style="23" customWidth="1"/>
    <col min="11" max="11" width="34.28515625" style="26" customWidth="1"/>
  </cols>
  <sheetData>
    <row r="2" spans="2:12" ht="26.25" customHeight="1" x14ac:dyDescent="0.25">
      <c r="B2" s="1" t="s">
        <v>0</v>
      </c>
      <c r="C2" s="1" t="s">
        <v>9</v>
      </c>
      <c r="D2" s="1" t="s">
        <v>1</v>
      </c>
      <c r="E2" s="2" t="s">
        <v>2</v>
      </c>
      <c r="F2" s="3" t="s">
        <v>3</v>
      </c>
      <c r="H2" s="1" t="s">
        <v>0</v>
      </c>
      <c r="I2" s="4" t="s">
        <v>15</v>
      </c>
      <c r="J2" s="21" t="s">
        <v>2</v>
      </c>
      <c r="K2" s="24" t="s">
        <v>1</v>
      </c>
    </row>
    <row r="3" spans="2:12" x14ac:dyDescent="0.25">
      <c r="B3" s="14" t="s">
        <v>4</v>
      </c>
      <c r="C3" s="15" t="s">
        <v>10</v>
      </c>
      <c r="D3" s="16">
        <v>44289</v>
      </c>
      <c r="E3" s="18">
        <v>15</v>
      </c>
      <c r="F3" s="19">
        <v>15</v>
      </c>
      <c r="H3" s="8" t="s">
        <v>10</v>
      </c>
      <c r="I3" s="9">
        <f>_xlfn.XLOOKUP(H3,C:C,F:F,"Ürün Kodu Yok veya Hatalı",0,-1)</f>
        <v>12.5</v>
      </c>
      <c r="J3" s="22"/>
      <c r="K3" s="25"/>
      <c r="L3" s="10"/>
    </row>
    <row r="4" spans="2:12" x14ac:dyDescent="0.25">
      <c r="B4" s="11" t="s">
        <v>5</v>
      </c>
      <c r="C4" s="13" t="s">
        <v>11</v>
      </c>
      <c r="D4" s="6">
        <v>44290</v>
      </c>
      <c r="E4" s="7">
        <v>4</v>
      </c>
      <c r="F4" s="20">
        <v>19</v>
      </c>
      <c r="H4" s="12" t="s">
        <v>11</v>
      </c>
      <c r="I4" s="9">
        <f t="shared" ref="I4:I7" si="0">_xlfn.XLOOKUP(H4,C:C,F:F,"Ürün Kodu Yok veya Hatalı",0,-1)</f>
        <v>21</v>
      </c>
      <c r="J4" s="22"/>
      <c r="K4" s="25"/>
      <c r="L4" s="10"/>
    </row>
    <row r="5" spans="2:12" x14ac:dyDescent="0.25">
      <c r="B5" s="5" t="s">
        <v>6</v>
      </c>
      <c r="C5" s="13" t="s">
        <v>12</v>
      </c>
      <c r="D5" s="6">
        <v>44291</v>
      </c>
      <c r="E5" s="7">
        <v>10</v>
      </c>
      <c r="F5" s="20">
        <v>5</v>
      </c>
      <c r="H5" s="8" t="s">
        <v>12</v>
      </c>
      <c r="I5" s="9">
        <f t="shared" si="0"/>
        <v>5.8</v>
      </c>
      <c r="J5" s="22"/>
      <c r="K5" s="25"/>
      <c r="L5" s="10"/>
    </row>
    <row r="6" spans="2:12" x14ac:dyDescent="0.25">
      <c r="B6" s="11" t="s">
        <v>7</v>
      </c>
      <c r="C6" s="13" t="s">
        <v>13</v>
      </c>
      <c r="D6" s="6">
        <v>44292</v>
      </c>
      <c r="E6" s="7">
        <v>2</v>
      </c>
      <c r="F6" s="20">
        <v>10</v>
      </c>
      <c r="H6" s="12" t="s">
        <v>13</v>
      </c>
      <c r="I6" s="9">
        <f t="shared" si="0"/>
        <v>10</v>
      </c>
      <c r="J6" s="22"/>
      <c r="K6" s="25"/>
      <c r="L6" s="10"/>
    </row>
    <row r="7" spans="2:12" x14ac:dyDescent="0.25">
      <c r="B7" s="11" t="s">
        <v>8</v>
      </c>
      <c r="C7" s="13" t="s">
        <v>14</v>
      </c>
      <c r="D7" s="6">
        <v>44293</v>
      </c>
      <c r="E7" s="7">
        <v>4</v>
      </c>
      <c r="F7" s="20">
        <v>12</v>
      </c>
      <c r="H7" s="12" t="s">
        <v>14</v>
      </c>
      <c r="I7" s="9">
        <f t="shared" si="0"/>
        <v>12</v>
      </c>
      <c r="J7" s="22"/>
      <c r="K7" s="25"/>
      <c r="L7" s="10"/>
    </row>
    <row r="8" spans="2:12" x14ac:dyDescent="0.25">
      <c r="B8" s="17" t="s">
        <v>4</v>
      </c>
      <c r="C8" s="15" t="s">
        <v>10</v>
      </c>
      <c r="D8" s="16">
        <v>44294</v>
      </c>
      <c r="E8" s="18">
        <v>45</v>
      </c>
      <c r="F8" s="19">
        <v>13</v>
      </c>
    </row>
    <row r="9" spans="2:12" x14ac:dyDescent="0.25">
      <c r="B9" s="14" t="s">
        <v>4</v>
      </c>
      <c r="C9" s="15" t="s">
        <v>10</v>
      </c>
      <c r="D9" s="16">
        <v>44295</v>
      </c>
      <c r="E9" s="18">
        <v>20</v>
      </c>
      <c r="F9" s="19">
        <v>17</v>
      </c>
    </row>
    <row r="10" spans="2:12" x14ac:dyDescent="0.25">
      <c r="B10" s="11" t="s">
        <v>6</v>
      </c>
      <c r="C10" s="13" t="s">
        <v>12</v>
      </c>
      <c r="D10" s="6">
        <v>44296</v>
      </c>
      <c r="E10" s="7">
        <v>6</v>
      </c>
      <c r="F10" s="20">
        <v>6</v>
      </c>
    </row>
    <row r="11" spans="2:12" x14ac:dyDescent="0.25">
      <c r="B11" s="11" t="s">
        <v>5</v>
      </c>
      <c r="C11" s="13" t="s">
        <v>11</v>
      </c>
      <c r="D11" s="6">
        <v>44297</v>
      </c>
      <c r="E11" s="7">
        <v>23</v>
      </c>
      <c r="F11" s="20">
        <v>18</v>
      </c>
    </row>
    <row r="12" spans="2:12" x14ac:dyDescent="0.25">
      <c r="B12" s="11" t="s">
        <v>5</v>
      </c>
      <c r="C12" s="13" t="s">
        <v>11</v>
      </c>
      <c r="D12" s="6">
        <v>44298</v>
      </c>
      <c r="E12" s="7">
        <v>40</v>
      </c>
      <c r="F12" s="20">
        <v>21</v>
      </c>
    </row>
    <row r="13" spans="2:12" x14ac:dyDescent="0.25">
      <c r="B13" s="11" t="s">
        <v>6</v>
      </c>
      <c r="C13" s="13" t="s">
        <v>12</v>
      </c>
      <c r="D13" s="6">
        <v>44299</v>
      </c>
      <c r="E13" s="7">
        <v>80</v>
      </c>
      <c r="F13" s="20">
        <v>5.8</v>
      </c>
    </row>
    <row r="14" spans="2:12" x14ac:dyDescent="0.25">
      <c r="B14" s="17" t="s">
        <v>4</v>
      </c>
      <c r="C14" s="15" t="s">
        <v>10</v>
      </c>
      <c r="D14" s="16">
        <v>44300</v>
      </c>
      <c r="E14" s="18">
        <v>50</v>
      </c>
      <c r="F14" s="19">
        <v>12.5</v>
      </c>
    </row>
    <row r="15" spans="2:12" ht="15.75" x14ac:dyDescent="0.25">
      <c r="H15" s="1" t="s">
        <v>0</v>
      </c>
      <c r="I15" s="4" t="s">
        <v>15</v>
      </c>
      <c r="J15" s="21" t="s">
        <v>2</v>
      </c>
      <c r="K15" s="24" t="s">
        <v>1</v>
      </c>
    </row>
    <row r="16" spans="2:12" x14ac:dyDescent="0.25">
      <c r="H16" s="8" t="s">
        <v>10</v>
      </c>
      <c r="I16" s="9">
        <f>_xlfn.XLOOKUP(H16,C:C,F:F,"Ürün Kodu Yok veya Hatalı",0,-1)</f>
        <v>12.5</v>
      </c>
      <c r="J16" s="22">
        <f>_xlfn.XLOOKUP(H16,C:C,E:E,"Ürün Kodu Yok veya Hatalı",0,-1)</f>
        <v>50</v>
      </c>
      <c r="K16" s="25">
        <f>_xlfn.XLOOKUP(H16,C:C,D:D,"Ürün Kodu Yok veya Hatalı",0,-1)</f>
        <v>44300</v>
      </c>
    </row>
    <row r="17" spans="8:11" x14ac:dyDescent="0.25">
      <c r="H17" s="12" t="s">
        <v>11</v>
      </c>
      <c r="I17" s="9">
        <f t="shared" ref="I17:K20" si="1">_xlfn.XLOOKUP(H17,C:C,F:F,"Ürün Kodu Yok veya Hatalı",0,-1)</f>
        <v>21</v>
      </c>
      <c r="J17" s="22">
        <f t="shared" ref="J17:J20" si="2">_xlfn.XLOOKUP(H17,C:C,E:E,"Ürün Kodu Yok veya Hatalı",0,-1)</f>
        <v>40</v>
      </c>
      <c r="K17" s="25">
        <f t="shared" ref="K17:K20" si="3">_xlfn.XLOOKUP(H17,C:C,D:D,"Ürün Kodu Yok veya Hatalı",0,-1)</f>
        <v>44298</v>
      </c>
    </row>
    <row r="18" spans="8:11" x14ac:dyDescent="0.25">
      <c r="H18" s="8" t="s">
        <v>12</v>
      </c>
      <c r="I18" s="9">
        <f t="shared" si="1"/>
        <v>5.8</v>
      </c>
      <c r="J18" s="22">
        <f t="shared" si="2"/>
        <v>80</v>
      </c>
      <c r="K18" s="25">
        <f t="shared" si="3"/>
        <v>44299</v>
      </c>
    </row>
    <row r="19" spans="8:11" x14ac:dyDescent="0.25">
      <c r="H19" s="12" t="s">
        <v>13</v>
      </c>
      <c r="I19" s="9">
        <f t="shared" si="1"/>
        <v>10</v>
      </c>
      <c r="J19" s="22">
        <f t="shared" si="2"/>
        <v>2</v>
      </c>
      <c r="K19" s="25">
        <f t="shared" si="3"/>
        <v>44292</v>
      </c>
    </row>
    <row r="20" spans="8:11" x14ac:dyDescent="0.25">
      <c r="H20" s="12" t="s">
        <v>14</v>
      </c>
      <c r="I20" s="9">
        <f t="shared" si="1"/>
        <v>12</v>
      </c>
      <c r="J20" s="22">
        <f t="shared" si="2"/>
        <v>4</v>
      </c>
      <c r="K20" s="25">
        <f t="shared" si="3"/>
        <v>44293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2021-04-04T12:35:39Z</dcterms:created>
  <dcterms:modified xsi:type="dcterms:W3CDTF">2021-04-04T15:00:36Z</dcterms:modified>
</cp:coreProperties>
</file>