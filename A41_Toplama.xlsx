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0BA077E8-CF25-4111-BB3E-157E68098628}" xr6:coauthVersionLast="46" xr6:coauthVersionMax="46" xr10:uidLastSave="{00000000-0000-0000-0000-000000000000}"/>
  <bookViews>
    <workbookView xWindow="-120" yWindow="-120" windowWidth="24240" windowHeight="13140" xr2:uid="{07F44A83-76F8-4274-8004-DF7187192BC1}"/>
  </bookViews>
  <sheets>
    <sheet name="Sayfa1" sheetId="1" r:id="rId1"/>
    <sheet name="Sayfa2" sheetId="3" r:id="rId2"/>
    <sheet name="Sayfa3" sheetId="4" r:id="rId3"/>
    <sheet name="Sayfa4" sheetId="5" r:id="rId4"/>
    <sheet name="Ayarlar" sheetId="2" r:id="rId5"/>
  </sheets>
  <definedNames>
    <definedName name="_xlnm._FilterDatabase" localSheetId="0" hidden="1">Sayfa1!$A$1:$G$18</definedName>
    <definedName name="_xlnm._FilterDatabase" localSheetId="1" hidden="1">Sayfa2!$A$1:$G$35</definedName>
    <definedName name="_xlnm._FilterDatabase" localSheetId="2" hidden="1">Sayfa3!$A$4:$G$38</definedName>
    <definedName name="_xlnm._FilterDatabase" localSheetId="3" hidden="1">Sayfa4!$A$2:$G$36</definedName>
    <definedName name="D_Kuru">Ayarlar!$F$2</definedName>
    <definedName name="E_Kuru">Ayarlar!$H$2</definedName>
    <definedName name="Şehirler">Ayarlar!$B$1:$B$6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4" l="1"/>
  <c r="C2" i="4"/>
  <c r="B2" i="4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L2" i="3"/>
  <c r="L3" i="3"/>
  <c r="L4" i="3"/>
  <c r="L1" i="3"/>
  <c r="G35" i="3" l="1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20" i="1"/>
  <c r="G19" i="1"/>
  <c r="G18" i="1"/>
  <c r="G32" i="1"/>
  <c r="G31" i="1"/>
  <c r="G30" i="1"/>
  <c r="G29" i="1"/>
  <c r="G28" i="1"/>
  <c r="G35" i="1"/>
  <c r="G34" i="1"/>
  <c r="G33" i="1"/>
  <c r="G17" i="1"/>
  <c r="G16" i="1"/>
  <c r="G15" i="1"/>
  <c r="G14" i="1"/>
  <c r="G13" i="1"/>
  <c r="G12" i="1"/>
  <c r="G3" i="1"/>
  <c r="G4" i="1"/>
  <c r="G5" i="1"/>
  <c r="K3" i="1" s="1"/>
  <c r="G6" i="1"/>
  <c r="G7" i="1"/>
  <c r="G21" i="1"/>
  <c r="G22" i="1"/>
  <c r="G23" i="1"/>
  <c r="G24" i="1"/>
  <c r="G25" i="1"/>
  <c r="G26" i="1"/>
  <c r="G27" i="1"/>
  <c r="G8" i="1"/>
  <c r="G9" i="1"/>
  <c r="G10" i="1"/>
  <c r="G11" i="1"/>
  <c r="L1" i="1"/>
  <c r="L3" i="1"/>
  <c r="L2" i="1"/>
  <c r="L4" i="1"/>
  <c r="K4" i="1" l="1"/>
  <c r="K1" i="1"/>
  <c r="K2" i="1"/>
  <c r="G2" i="1"/>
</calcChain>
</file>

<file path=xl/sharedStrings.xml><?xml version="1.0" encoding="utf-8"?>
<sst xmlns="http://schemas.openxmlformats.org/spreadsheetml/2006/main" count="464" uniqueCount="30">
  <si>
    <t>Tarih</t>
  </si>
  <si>
    <t>Temsilci</t>
  </si>
  <si>
    <t>Ürünler</t>
  </si>
  <si>
    <t>Adet</t>
  </si>
  <si>
    <t>Fiyat</t>
  </si>
  <si>
    <t>Tutar</t>
  </si>
  <si>
    <t>İstanbul</t>
  </si>
  <si>
    <t>Gamze ATAK</t>
  </si>
  <si>
    <t>Takım Elbise</t>
  </si>
  <si>
    <t>Mustafa YILDIRIM</t>
  </si>
  <si>
    <t>Çocuk Giysisi</t>
  </si>
  <si>
    <t>Bluz</t>
  </si>
  <si>
    <t>Gömlek</t>
  </si>
  <si>
    <t>Pantolon</t>
  </si>
  <si>
    <t>Hasan DAĞ</t>
  </si>
  <si>
    <t>Şehir</t>
  </si>
  <si>
    <t>Adana</t>
  </si>
  <si>
    <t>Ankara</t>
  </si>
  <si>
    <t>Şanlıurfa</t>
  </si>
  <si>
    <t>Mersin</t>
  </si>
  <si>
    <t>Şehirler</t>
  </si>
  <si>
    <t>Dolar Kuru</t>
  </si>
  <si>
    <t>Euro Kuru</t>
  </si>
  <si>
    <t>Satış Sayısı</t>
  </si>
  <si>
    <t>Ortalama Tutar</t>
  </si>
  <si>
    <t>Toplam Tutar</t>
  </si>
  <si>
    <t>En Büyük Satış Tutarı</t>
  </si>
  <si>
    <t>1O</t>
  </si>
  <si>
    <t>EN BÜYÜK 3 SATIŞ TUTARI</t>
  </si>
  <si>
    <t>EN KÜÇÜK 3 SATIŞ TUTARI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</si>
</sst>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TL&quot;_-;\-* #,##0.00\ &quot;TL&quot;_-;_-* &quot;-&quot;??\ &quot;TL&quot;_-;_-@_-"/>
    <numFmt numFmtId="164" formatCode="_-* #,##0\ &quot;TL&quot;_-;\-* #,##0\ &quot;TL&quot;_-;_-* &quot;-&quot;??\ &quot;TL&quot;_-;_-@_-"/>
    <numFmt numFmtId="165" formatCode="_-* #,##0\ _T_L_-;\-* #,##0\ _T_L_-;_-* &quot;-&quot;??\ _T_L_-;_-@_-"/>
    <numFmt numFmtId="166" formatCode="_-* #,##0.00\ _₺_-;\-* #,##0.00\ _₺_-;_-* &quot;-&quot;??\ _₺_-;_-@_-"/>
    <numFmt numFmtId="167" formatCode="_-* #,##0\ _₺_-;\-* #,##0\ _₺_-;_-* &quot;-&quot;??\ _₺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2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left"/>
    </xf>
    <xf numFmtId="164" fontId="0" fillId="0" borderId="1" xfId="2" applyNumberFormat="1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quotePrefix="1"/>
    <xf numFmtId="166" fontId="0" fillId="0" borderId="0" xfId="1" quotePrefix="1" applyFont="1"/>
    <xf numFmtId="166" fontId="0" fillId="0" borderId="0" xfId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2" applyNumberFormat="1" applyFont="1"/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167" fontId="5" fillId="0" borderId="2" xfId="1" applyNumberFormat="1" applyFont="1" applyBorder="1"/>
    <xf numFmtId="167" fontId="5" fillId="3" borderId="3" xfId="1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64" fontId="0" fillId="3" borderId="3" xfId="2" applyNumberFormat="1" applyFont="1" applyFill="1" applyBorder="1"/>
    <xf numFmtId="0" fontId="5" fillId="3" borderId="4" xfId="1" applyNumberFormat="1" applyFont="1" applyFill="1" applyBorder="1" applyAlignment="1">
      <alignment horizontal="center"/>
    </xf>
    <xf numFmtId="166" fontId="5" fillId="3" borderId="4" xfId="1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164" fontId="0" fillId="3" borderId="4" xfId="2" applyNumberFormat="1" applyFont="1" applyFill="1" applyBorder="1"/>
    <xf numFmtId="164" fontId="5" fillId="3" borderId="4" xfId="2" applyNumberFormat="1" applyFont="1" applyFill="1" applyBorder="1" applyAlignment="1">
      <alignment horizontal="left" indent="2"/>
    </xf>
    <xf numFmtId="164" fontId="1" fillId="3" borderId="3" xfId="2" applyNumberFormat="1" applyFont="1" applyFill="1" applyBorder="1"/>
    <xf numFmtId="164" fontId="1" fillId="3" borderId="4" xfId="2" applyNumberFormat="1" applyFont="1" applyFill="1" applyBorder="1"/>
    <xf numFmtId="0" fontId="0" fillId="0" borderId="0" xfId="1" applyNumberFormat="1" applyFont="1" applyAlignment="1">
      <alignment horizontal="right"/>
    </xf>
    <xf numFmtId="0" fontId="2" fillId="2" borderId="1" xfId="1" applyNumberFormat="1" applyFont="1" applyFill="1" applyBorder="1" applyAlignment="1">
      <alignment horizontal="right" vertical="center"/>
    </xf>
    <xf numFmtId="0" fontId="0" fillId="0" borderId="1" xfId="1" applyNumberFormat="1" applyFont="1" applyBorder="1" applyAlignment="1">
      <alignment horizontal="right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0E9-7C18-4762-90C1-9FC9C429BA23}">
  <sheetPr>
    <pageSetUpPr fitToPage="1"/>
  </sheetPr>
  <dimension ref="A1:O35"/>
  <sheetViews>
    <sheetView showGridLines="0" tabSelected="1" zoomScaleNormal="100" workbookViewId="0">
      <selection activeCell="E6" sqref="E6"/>
    </sheetView>
  </sheetViews>
  <sheetFormatPr defaultRowHeight="15" x14ac:dyDescent="0.25"/>
  <cols>
    <col min="1" max="1" width="16.7109375" style="16" bestFit="1" customWidth="1"/>
    <col min="2" max="2" width="19" style="12" customWidth="1"/>
    <col min="3" max="3" width="17.140625" style="17" customWidth="1"/>
    <col min="4" max="4" width="15.28515625" style="12" customWidth="1"/>
    <col min="5" max="5" width="9" style="12" customWidth="1"/>
    <col min="6" max="6" width="9.5703125" style="12" customWidth="1"/>
    <col min="7" max="7" width="13.5703125" style="18" bestFit="1" customWidth="1"/>
    <col min="10" max="10" width="19.140625" bestFit="1" customWidth="1"/>
    <col min="11" max="11" width="15.42578125" customWidth="1"/>
    <col min="12" max="12" width="19.42578125" bestFit="1" customWidth="1"/>
  </cols>
  <sheetData>
    <row r="1" spans="1:15" ht="20.25" customHeigh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2" t="s">
        <v>5</v>
      </c>
      <c r="J1" s="21" t="s">
        <v>25</v>
      </c>
      <c r="K1" s="21">
        <f>SUM(G:G)</f>
        <v>237485</v>
      </c>
      <c r="L1" t="str">
        <f ca="1">_xlfn.FORMULATEXT(K1)</f>
        <v>=TOPLA(G:G)</v>
      </c>
    </row>
    <row r="2" spans="1:15" ht="15.75" x14ac:dyDescent="0.25">
      <c r="A2" s="3">
        <v>44674</v>
      </c>
      <c r="B2" s="4" t="s">
        <v>7</v>
      </c>
      <c r="C2" s="6" t="s">
        <v>16</v>
      </c>
      <c r="D2" s="4" t="s">
        <v>8</v>
      </c>
      <c r="E2" s="7">
        <v>7</v>
      </c>
      <c r="F2" s="7">
        <v>450</v>
      </c>
      <c r="G2" s="8">
        <f t="shared" ref="G2:G35" si="0">E2*F2</f>
        <v>3150</v>
      </c>
      <c r="J2" s="21" t="s">
        <v>24</v>
      </c>
      <c r="K2" s="21">
        <f>AVERAGE(G:G)</f>
        <v>6984.8529411764703</v>
      </c>
      <c r="L2" t="str">
        <f t="shared" ref="L2:L4" ca="1" si="1">_xlfn.FORMULATEXT(K2)</f>
        <v>=ORTALAMA(G:G)</v>
      </c>
    </row>
    <row r="3" spans="1:15" ht="15.75" x14ac:dyDescent="0.25">
      <c r="A3" s="9">
        <v>44670</v>
      </c>
      <c r="B3" s="10" t="s">
        <v>9</v>
      </c>
      <c r="C3" s="6" t="s">
        <v>16</v>
      </c>
      <c r="D3" s="10" t="s">
        <v>10</v>
      </c>
      <c r="E3" s="7">
        <v>135</v>
      </c>
      <c r="F3" s="7">
        <v>30</v>
      </c>
      <c r="G3" s="8">
        <f t="shared" si="0"/>
        <v>4050</v>
      </c>
      <c r="J3" s="21" t="s">
        <v>23</v>
      </c>
      <c r="K3" s="21">
        <f>COUNT(G:G)</f>
        <v>34</v>
      </c>
      <c r="L3" t="str">
        <f t="shared" ca="1" si="1"/>
        <v>=BAĞ_DEĞ_SAY(G:G)</v>
      </c>
    </row>
    <row r="4" spans="1:15" ht="15.75" x14ac:dyDescent="0.25">
      <c r="A4" s="3">
        <v>44674</v>
      </c>
      <c r="B4" s="4" t="s">
        <v>7</v>
      </c>
      <c r="C4" s="6" t="s">
        <v>16</v>
      </c>
      <c r="D4" s="4" t="s">
        <v>10</v>
      </c>
      <c r="E4" s="7">
        <v>23</v>
      </c>
      <c r="F4" s="7">
        <v>450</v>
      </c>
      <c r="G4" s="8">
        <f t="shared" si="0"/>
        <v>10350</v>
      </c>
      <c r="J4" s="21" t="s">
        <v>26</v>
      </c>
      <c r="K4" s="21">
        <f>MAX(G:G)</f>
        <v>16750</v>
      </c>
      <c r="L4" t="str">
        <f t="shared" ca="1" si="1"/>
        <v>=MAK(G:G)</v>
      </c>
    </row>
    <row r="5" spans="1:15" x14ac:dyDescent="0.25">
      <c r="A5" s="11">
        <v>44583</v>
      </c>
      <c r="B5" s="10" t="s">
        <v>7</v>
      </c>
      <c r="C5" s="6" t="s">
        <v>16</v>
      </c>
      <c r="D5" s="4" t="s">
        <v>10</v>
      </c>
      <c r="E5" s="7">
        <v>10</v>
      </c>
      <c r="F5" s="7">
        <v>250</v>
      </c>
      <c r="G5" s="8">
        <f t="shared" si="0"/>
        <v>2500</v>
      </c>
    </row>
    <row r="6" spans="1:15" x14ac:dyDescent="0.25">
      <c r="A6" s="9">
        <v>44730</v>
      </c>
      <c r="B6" s="10" t="s">
        <v>7</v>
      </c>
      <c r="C6" s="6" t="s">
        <v>16</v>
      </c>
      <c r="D6" s="10" t="s">
        <v>11</v>
      </c>
      <c r="E6" s="7">
        <v>114</v>
      </c>
      <c r="F6" s="7">
        <v>50</v>
      </c>
      <c r="G6" s="8">
        <f t="shared" si="0"/>
        <v>5700</v>
      </c>
    </row>
    <row r="7" spans="1:15" x14ac:dyDescent="0.25">
      <c r="A7" s="9">
        <v>44642</v>
      </c>
      <c r="B7" s="10" t="s">
        <v>9</v>
      </c>
      <c r="C7" s="6" t="s">
        <v>16</v>
      </c>
      <c r="D7" s="10" t="s">
        <v>12</v>
      </c>
      <c r="E7" s="7">
        <v>126</v>
      </c>
      <c r="F7" s="7">
        <v>75</v>
      </c>
      <c r="G7" s="8">
        <f t="shared" si="0"/>
        <v>9450</v>
      </c>
    </row>
    <row r="8" spans="1:15" x14ac:dyDescent="0.25">
      <c r="A8" s="9">
        <v>44698</v>
      </c>
      <c r="B8" s="10" t="s">
        <v>14</v>
      </c>
      <c r="C8" s="5" t="s">
        <v>16</v>
      </c>
      <c r="D8" s="4" t="s">
        <v>13</v>
      </c>
      <c r="E8" s="7">
        <v>6</v>
      </c>
      <c r="F8" s="7">
        <v>75</v>
      </c>
      <c r="G8" s="8">
        <f t="shared" si="0"/>
        <v>450</v>
      </c>
      <c r="N8" s="12"/>
    </row>
    <row r="9" spans="1:15" x14ac:dyDescent="0.25">
      <c r="A9" s="9">
        <v>44718</v>
      </c>
      <c r="B9" s="10" t="s">
        <v>7</v>
      </c>
      <c r="C9" s="5" t="s">
        <v>6</v>
      </c>
      <c r="D9" s="10" t="s">
        <v>11</v>
      </c>
      <c r="E9" s="7">
        <v>139</v>
      </c>
      <c r="F9" s="7">
        <v>50</v>
      </c>
      <c r="G9" s="8">
        <f t="shared" si="0"/>
        <v>6950</v>
      </c>
    </row>
    <row r="10" spans="1:15" x14ac:dyDescent="0.25">
      <c r="A10" s="9">
        <v>44635</v>
      </c>
      <c r="B10" s="10" t="s">
        <v>7</v>
      </c>
      <c r="C10" s="5" t="s">
        <v>6</v>
      </c>
      <c r="D10" s="4" t="s">
        <v>11</v>
      </c>
      <c r="E10" s="7">
        <v>87</v>
      </c>
      <c r="F10" s="7">
        <v>75</v>
      </c>
      <c r="G10" s="8">
        <f t="shared" si="0"/>
        <v>6525</v>
      </c>
      <c r="O10" s="13"/>
    </row>
    <row r="11" spans="1:15" x14ac:dyDescent="0.25">
      <c r="A11" s="9">
        <v>44742</v>
      </c>
      <c r="B11" s="10" t="s">
        <v>7</v>
      </c>
      <c r="C11" s="5" t="s">
        <v>6</v>
      </c>
      <c r="D11" s="4" t="s">
        <v>11</v>
      </c>
      <c r="E11" s="7">
        <v>33</v>
      </c>
      <c r="F11" s="7">
        <v>250</v>
      </c>
      <c r="G11" s="8">
        <f t="shared" si="0"/>
        <v>8250</v>
      </c>
    </row>
    <row r="12" spans="1:15" x14ac:dyDescent="0.25">
      <c r="A12" s="9">
        <v>44743</v>
      </c>
      <c r="B12" s="4" t="s">
        <v>7</v>
      </c>
      <c r="C12" s="5" t="s">
        <v>6</v>
      </c>
      <c r="D12" s="4" t="s">
        <v>8</v>
      </c>
      <c r="E12" s="7">
        <v>12</v>
      </c>
      <c r="F12" s="7">
        <v>450</v>
      </c>
      <c r="G12" s="8">
        <f t="shared" si="0"/>
        <v>5400</v>
      </c>
    </row>
    <row r="13" spans="1:15" x14ac:dyDescent="0.25">
      <c r="A13" s="9">
        <v>44744</v>
      </c>
      <c r="B13" s="10" t="s">
        <v>9</v>
      </c>
      <c r="C13" s="5" t="s">
        <v>6</v>
      </c>
      <c r="D13" s="10" t="s">
        <v>10</v>
      </c>
      <c r="E13" s="7">
        <v>140</v>
      </c>
      <c r="F13" s="7">
        <v>30</v>
      </c>
      <c r="G13" s="8">
        <f t="shared" si="0"/>
        <v>4200</v>
      </c>
    </row>
    <row r="14" spans="1:15" x14ac:dyDescent="0.25">
      <c r="A14" s="9">
        <v>44745</v>
      </c>
      <c r="B14" s="4" t="s">
        <v>7</v>
      </c>
      <c r="C14" s="5" t="s">
        <v>6</v>
      </c>
      <c r="D14" s="4" t="s">
        <v>10</v>
      </c>
      <c r="E14" s="7">
        <v>28</v>
      </c>
      <c r="F14" s="7">
        <v>450</v>
      </c>
      <c r="G14" s="8">
        <f t="shared" si="0"/>
        <v>12600</v>
      </c>
    </row>
    <row r="15" spans="1:15" x14ac:dyDescent="0.25">
      <c r="A15" s="9">
        <v>44746</v>
      </c>
      <c r="B15" s="10" t="s">
        <v>7</v>
      </c>
      <c r="C15" s="5" t="s">
        <v>6</v>
      </c>
      <c r="D15" s="4" t="s">
        <v>10</v>
      </c>
      <c r="E15" s="7">
        <v>67</v>
      </c>
      <c r="F15" s="7">
        <v>250</v>
      </c>
      <c r="G15" s="8">
        <f t="shared" si="0"/>
        <v>16750</v>
      </c>
      <c r="O15" s="14"/>
    </row>
    <row r="16" spans="1:15" x14ac:dyDescent="0.25">
      <c r="A16" s="9">
        <v>44747</v>
      </c>
      <c r="B16" s="10" t="s">
        <v>7</v>
      </c>
      <c r="C16" s="5" t="s">
        <v>6</v>
      </c>
      <c r="D16" s="10" t="s">
        <v>11</v>
      </c>
      <c r="E16" s="7">
        <v>119</v>
      </c>
      <c r="F16" s="7">
        <v>50</v>
      </c>
      <c r="G16" s="8">
        <f t="shared" si="0"/>
        <v>5950</v>
      </c>
    </row>
    <row r="17" spans="1:15" x14ac:dyDescent="0.25">
      <c r="A17" s="9">
        <v>44748</v>
      </c>
      <c r="B17" s="10" t="s">
        <v>9</v>
      </c>
      <c r="C17" s="5" t="s">
        <v>6</v>
      </c>
      <c r="D17" s="10" t="s">
        <v>12</v>
      </c>
      <c r="E17" s="7">
        <v>131</v>
      </c>
      <c r="F17" s="7">
        <v>75</v>
      </c>
      <c r="G17" s="8">
        <f t="shared" si="0"/>
        <v>9825</v>
      </c>
      <c r="O17" s="15"/>
    </row>
    <row r="18" spans="1:15" x14ac:dyDescent="0.25">
      <c r="A18" s="9">
        <v>44757</v>
      </c>
      <c r="B18" s="10" t="s">
        <v>7</v>
      </c>
      <c r="C18" s="5" t="s">
        <v>6</v>
      </c>
      <c r="D18" s="10" t="s">
        <v>11</v>
      </c>
      <c r="E18" s="7">
        <v>144</v>
      </c>
      <c r="F18" s="7">
        <v>50</v>
      </c>
      <c r="G18" s="8">
        <f t="shared" si="0"/>
        <v>7200</v>
      </c>
    </row>
    <row r="19" spans="1:15" x14ac:dyDescent="0.25">
      <c r="A19" s="9">
        <v>44758</v>
      </c>
      <c r="B19" s="10" t="s">
        <v>7</v>
      </c>
      <c r="C19" s="5" t="s">
        <v>6</v>
      </c>
      <c r="D19" s="4" t="s">
        <v>11</v>
      </c>
      <c r="E19" s="7">
        <v>92</v>
      </c>
      <c r="F19" s="7">
        <v>75</v>
      </c>
      <c r="G19" s="8">
        <f t="shared" si="0"/>
        <v>6900</v>
      </c>
    </row>
    <row r="20" spans="1:15" x14ac:dyDescent="0.25">
      <c r="A20" s="9">
        <v>44759</v>
      </c>
      <c r="B20" s="10" t="s">
        <v>7</v>
      </c>
      <c r="C20" s="5" t="s">
        <v>6</v>
      </c>
      <c r="D20" s="4" t="s">
        <v>11</v>
      </c>
      <c r="E20" s="7">
        <v>38</v>
      </c>
      <c r="F20" s="7">
        <v>250</v>
      </c>
      <c r="G20" s="8">
        <f t="shared" si="0"/>
        <v>9500</v>
      </c>
    </row>
    <row r="21" spans="1:15" x14ac:dyDescent="0.25">
      <c r="A21" s="3">
        <v>44650</v>
      </c>
      <c r="B21" s="4" t="s">
        <v>9</v>
      </c>
      <c r="C21" s="5" t="s">
        <v>19</v>
      </c>
      <c r="D21" s="4" t="s">
        <v>12</v>
      </c>
      <c r="E21" s="7">
        <v>215</v>
      </c>
      <c r="F21" s="7">
        <v>25</v>
      </c>
      <c r="G21" s="8">
        <f t="shared" si="0"/>
        <v>5375</v>
      </c>
    </row>
    <row r="22" spans="1:15" x14ac:dyDescent="0.25">
      <c r="A22" s="9">
        <v>44718</v>
      </c>
      <c r="B22" s="10" t="s">
        <v>7</v>
      </c>
      <c r="C22" s="5" t="s">
        <v>19</v>
      </c>
      <c r="D22" s="4" t="s">
        <v>12</v>
      </c>
      <c r="E22" s="7">
        <v>152</v>
      </c>
      <c r="F22" s="7">
        <v>50</v>
      </c>
      <c r="G22" s="8">
        <f t="shared" si="0"/>
        <v>7600</v>
      </c>
    </row>
    <row r="23" spans="1:15" x14ac:dyDescent="0.25">
      <c r="A23" s="9">
        <v>44702</v>
      </c>
      <c r="B23" s="10" t="s">
        <v>9</v>
      </c>
      <c r="C23" s="5" t="s">
        <v>19</v>
      </c>
      <c r="D23" s="4" t="s">
        <v>13</v>
      </c>
      <c r="E23" s="7">
        <v>70</v>
      </c>
      <c r="F23" s="7">
        <v>75</v>
      </c>
      <c r="G23" s="8">
        <f t="shared" si="0"/>
        <v>5250</v>
      </c>
    </row>
    <row r="24" spans="1:15" x14ac:dyDescent="0.25">
      <c r="A24" s="9">
        <v>44654</v>
      </c>
      <c r="B24" s="10" t="s">
        <v>7</v>
      </c>
      <c r="C24" s="5" t="s">
        <v>19</v>
      </c>
      <c r="D24" s="4" t="s">
        <v>13</v>
      </c>
      <c r="E24" s="7">
        <v>261</v>
      </c>
      <c r="F24" s="7">
        <v>30</v>
      </c>
      <c r="G24" s="8">
        <f t="shared" si="0"/>
        <v>7830</v>
      </c>
    </row>
    <row r="25" spans="1:15" x14ac:dyDescent="0.25">
      <c r="A25" s="11">
        <v>44577</v>
      </c>
      <c r="B25" s="10" t="s">
        <v>7</v>
      </c>
      <c r="C25" s="5" t="s">
        <v>19</v>
      </c>
      <c r="D25" s="4" t="s">
        <v>13</v>
      </c>
      <c r="E25" s="7">
        <v>99</v>
      </c>
      <c r="F25" s="7">
        <v>50</v>
      </c>
      <c r="G25" s="8">
        <f t="shared" si="0"/>
        <v>4950</v>
      </c>
    </row>
    <row r="26" spans="1:15" x14ac:dyDescent="0.25">
      <c r="A26" s="9">
        <v>44702</v>
      </c>
      <c r="B26" s="10" t="s">
        <v>9</v>
      </c>
      <c r="C26" s="5" t="s">
        <v>19</v>
      </c>
      <c r="D26" s="4" t="s">
        <v>13</v>
      </c>
      <c r="E26" s="7">
        <v>95</v>
      </c>
      <c r="F26" s="7">
        <v>75</v>
      </c>
      <c r="G26" s="8">
        <f t="shared" si="0"/>
        <v>7125</v>
      </c>
    </row>
    <row r="27" spans="1:15" x14ac:dyDescent="0.25">
      <c r="A27" s="9">
        <v>44658</v>
      </c>
      <c r="B27" s="10" t="s">
        <v>9</v>
      </c>
      <c r="C27" s="5" t="s">
        <v>19</v>
      </c>
      <c r="D27" s="10" t="s">
        <v>10</v>
      </c>
      <c r="E27" s="7">
        <v>240</v>
      </c>
      <c r="F27" s="7">
        <v>30</v>
      </c>
      <c r="G27" s="8">
        <f t="shared" si="0"/>
        <v>7200</v>
      </c>
    </row>
    <row r="28" spans="1:15" x14ac:dyDescent="0.25">
      <c r="A28" s="9">
        <v>44752</v>
      </c>
      <c r="B28" s="10" t="s">
        <v>7</v>
      </c>
      <c r="C28" s="5" t="s">
        <v>19</v>
      </c>
      <c r="D28" s="4" t="s">
        <v>13</v>
      </c>
      <c r="E28" s="7">
        <v>266</v>
      </c>
      <c r="F28" s="7">
        <v>30</v>
      </c>
      <c r="G28" s="8">
        <f t="shared" si="0"/>
        <v>7980</v>
      </c>
    </row>
    <row r="29" spans="1:15" x14ac:dyDescent="0.25">
      <c r="A29" s="9">
        <v>44753</v>
      </c>
      <c r="B29" s="10" t="s">
        <v>7</v>
      </c>
      <c r="C29" s="5" t="s">
        <v>19</v>
      </c>
      <c r="D29" s="4" t="s">
        <v>13</v>
      </c>
      <c r="E29" s="7">
        <v>104</v>
      </c>
      <c r="F29" s="7">
        <v>50</v>
      </c>
      <c r="G29" s="8">
        <f t="shared" si="0"/>
        <v>5200</v>
      </c>
    </row>
    <row r="30" spans="1:15" x14ac:dyDescent="0.25">
      <c r="A30" s="9">
        <v>44754</v>
      </c>
      <c r="B30" s="10" t="s">
        <v>9</v>
      </c>
      <c r="C30" s="5" t="s">
        <v>19</v>
      </c>
      <c r="D30" s="4" t="s">
        <v>13</v>
      </c>
      <c r="E30" s="7">
        <v>100</v>
      </c>
      <c r="F30" s="7">
        <v>75</v>
      </c>
      <c r="G30" s="8">
        <f t="shared" si="0"/>
        <v>7500</v>
      </c>
    </row>
    <row r="31" spans="1:15" x14ac:dyDescent="0.25">
      <c r="A31" s="9">
        <v>44755</v>
      </c>
      <c r="B31" s="10" t="s">
        <v>9</v>
      </c>
      <c r="C31" s="5" t="s">
        <v>19</v>
      </c>
      <c r="D31" s="10" t="s">
        <v>10</v>
      </c>
      <c r="E31" s="7">
        <v>245</v>
      </c>
      <c r="F31" s="7">
        <v>30</v>
      </c>
      <c r="G31" s="8">
        <f t="shared" si="0"/>
        <v>7350</v>
      </c>
    </row>
    <row r="32" spans="1:15" x14ac:dyDescent="0.25">
      <c r="A32" s="9">
        <v>44756</v>
      </c>
      <c r="B32" s="10" t="s">
        <v>14</v>
      </c>
      <c r="C32" s="5" t="s">
        <v>19</v>
      </c>
      <c r="D32" s="4" t="s">
        <v>13</v>
      </c>
      <c r="E32" s="7">
        <v>126</v>
      </c>
      <c r="F32" s="7">
        <v>75</v>
      </c>
      <c r="G32" s="8">
        <f t="shared" si="0"/>
        <v>9450</v>
      </c>
    </row>
    <row r="33" spans="1:7" x14ac:dyDescent="0.25">
      <c r="A33" s="9">
        <v>44749</v>
      </c>
      <c r="B33" s="4" t="s">
        <v>9</v>
      </c>
      <c r="C33" s="6" t="s">
        <v>18</v>
      </c>
      <c r="D33" s="4" t="s">
        <v>12</v>
      </c>
      <c r="E33" s="7">
        <v>220</v>
      </c>
      <c r="F33" s="7">
        <v>25</v>
      </c>
      <c r="G33" s="8">
        <f t="shared" si="0"/>
        <v>5500</v>
      </c>
    </row>
    <row r="34" spans="1:7" x14ac:dyDescent="0.25">
      <c r="A34" s="9">
        <v>44750</v>
      </c>
      <c r="B34" s="10" t="s">
        <v>7</v>
      </c>
      <c r="C34" s="5" t="s">
        <v>18</v>
      </c>
      <c r="D34" s="4" t="s">
        <v>12</v>
      </c>
      <c r="E34" s="7">
        <v>157</v>
      </c>
      <c r="F34" s="7">
        <v>50</v>
      </c>
      <c r="G34" s="8">
        <f t="shared" si="0"/>
        <v>7850</v>
      </c>
    </row>
    <row r="35" spans="1:7" x14ac:dyDescent="0.25">
      <c r="A35" s="9">
        <v>44751</v>
      </c>
      <c r="B35" s="10" t="s">
        <v>9</v>
      </c>
      <c r="C35" s="5" t="s">
        <v>18</v>
      </c>
      <c r="D35" s="4" t="s">
        <v>13</v>
      </c>
      <c r="E35" s="7">
        <v>75</v>
      </c>
      <c r="F35" s="7">
        <v>75</v>
      </c>
      <c r="G35" s="8">
        <f t="shared" si="0"/>
        <v>5625</v>
      </c>
    </row>
  </sheetData>
  <sortState xmlns:xlrd2="http://schemas.microsoft.com/office/spreadsheetml/2017/richdata2" ref="A2:G35">
    <sortCondition ref="C2:C35"/>
  </sortState>
  <phoneticPr fontId="4" type="noConversion"/>
  <pageMargins left="0.25" right="0.25" top="0.75" bottom="0.75" header="0.3" footer="0.3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2F30D9-6196-4F8B-AE17-3D7F76D80A15}">
          <x14:formula1>
            <xm:f>Ayarlar!$B$2:$B$6</xm:f>
          </x14:formula1>
          <xm:sqref>C2:C25 C28:C34</xm:sqref>
        </x14:dataValidation>
        <x14:dataValidation type="list" allowBlank="1" showInputMessage="1" showErrorMessage="1" xr:uid="{DBA3FDB5-05BD-4057-AB04-7A4325CD8554}">
          <x14:formula1>
            <xm:f>Ayarlar!$D$2:$D$4</xm:f>
          </x14:formula1>
          <xm:sqref>B13:B24 B10:B11 B2:B7 B30:B35 B27:B28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1C6E6-D98A-4A35-87F0-C859A305CB6E}">
  <sheetPr>
    <pageSetUpPr fitToPage="1"/>
  </sheetPr>
  <dimension ref="A1:O35"/>
  <sheetViews>
    <sheetView showGridLines="0" topLeftCell="B1" zoomScaleNormal="100" workbookViewId="0">
      <selection activeCell="K1" sqref="K1:K4"/>
    </sheetView>
  </sheetViews>
  <sheetFormatPr defaultRowHeight="15" x14ac:dyDescent="0.25"/>
  <cols>
    <col min="1" max="1" width="16.7109375" style="16" bestFit="1" customWidth="1"/>
    <col min="2" max="2" width="19" style="12" customWidth="1"/>
    <col min="3" max="3" width="17.140625" style="17" customWidth="1"/>
    <col min="4" max="4" width="15.28515625" style="12" customWidth="1"/>
    <col min="5" max="5" width="9" style="12" customWidth="1"/>
    <col min="6" max="6" width="9.5703125" style="12" customWidth="1"/>
    <col min="7" max="7" width="13.5703125" style="18" bestFit="1" customWidth="1"/>
    <col min="10" max="10" width="23.5703125" bestFit="1" customWidth="1"/>
    <col min="11" max="11" width="14.7109375" customWidth="1"/>
    <col min="12" max="12" width="18.42578125" customWidth="1"/>
  </cols>
  <sheetData>
    <row r="1" spans="1:15" ht="20.25" customHeight="1" x14ac:dyDescent="0.25">
      <c r="A1" s="1" t="s">
        <v>0</v>
      </c>
      <c r="B1" s="1" t="s">
        <v>1</v>
      </c>
      <c r="C1" s="1" t="s">
        <v>15</v>
      </c>
      <c r="D1" s="1" t="s">
        <v>2</v>
      </c>
      <c r="E1" s="1" t="s">
        <v>3</v>
      </c>
      <c r="F1" s="1" t="s">
        <v>4</v>
      </c>
      <c r="G1" s="2" t="s">
        <v>5</v>
      </c>
      <c r="J1" s="21" t="s">
        <v>25</v>
      </c>
      <c r="K1" s="21"/>
      <c r="L1" t="e">
        <f ca="1">_xlfn.FORMULATEXT(K1)</f>
        <v>#N/A</v>
      </c>
    </row>
    <row r="2" spans="1:15" ht="15.75" x14ac:dyDescent="0.25">
      <c r="A2" s="3">
        <v>44674</v>
      </c>
      <c r="B2" s="4" t="s">
        <v>7</v>
      </c>
      <c r="C2" s="6" t="s">
        <v>16</v>
      </c>
      <c r="D2" s="4" t="s">
        <v>8</v>
      </c>
      <c r="E2" s="7">
        <v>7</v>
      </c>
      <c r="F2" s="7">
        <v>450</v>
      </c>
      <c r="G2" s="8">
        <f t="shared" ref="G2:G35" si="0">E2*F2</f>
        <v>3150</v>
      </c>
      <c r="J2" s="21" t="s">
        <v>24</v>
      </c>
      <c r="K2" s="21"/>
      <c r="L2" t="e">
        <f t="shared" ref="L2:L4" ca="1" si="1">_xlfn.FORMULATEXT(K2)</f>
        <v>#N/A</v>
      </c>
    </row>
    <row r="3" spans="1:15" ht="15.75" x14ac:dyDescent="0.25">
      <c r="A3" s="9">
        <v>44670</v>
      </c>
      <c r="B3" s="10" t="s">
        <v>9</v>
      </c>
      <c r="C3" s="6" t="s">
        <v>16</v>
      </c>
      <c r="D3" s="10" t="s">
        <v>10</v>
      </c>
      <c r="E3" s="7">
        <v>135</v>
      </c>
      <c r="F3" s="7">
        <v>30</v>
      </c>
      <c r="G3" s="8">
        <f t="shared" si="0"/>
        <v>4050</v>
      </c>
      <c r="J3" s="21" t="s">
        <v>23</v>
      </c>
      <c r="K3" s="21"/>
      <c r="L3" t="e">
        <f t="shared" ca="1" si="1"/>
        <v>#N/A</v>
      </c>
    </row>
    <row r="4" spans="1:15" ht="15.75" x14ac:dyDescent="0.25">
      <c r="A4" s="3">
        <v>44674</v>
      </c>
      <c r="B4" s="4" t="s">
        <v>7</v>
      </c>
      <c r="C4" s="6" t="s">
        <v>16</v>
      </c>
      <c r="D4" s="4" t="s">
        <v>10</v>
      </c>
      <c r="E4" s="7">
        <v>23</v>
      </c>
      <c r="F4" s="7">
        <v>450</v>
      </c>
      <c r="G4" s="8">
        <f t="shared" si="0"/>
        <v>10350</v>
      </c>
      <c r="J4" s="21" t="s">
        <v>26</v>
      </c>
      <c r="K4" s="21"/>
      <c r="L4" t="e">
        <f t="shared" ca="1" si="1"/>
        <v>#N/A</v>
      </c>
    </row>
    <row r="5" spans="1:15" x14ac:dyDescent="0.25">
      <c r="A5" s="11">
        <v>44583</v>
      </c>
      <c r="B5" s="10" t="s">
        <v>7</v>
      </c>
      <c r="C5" s="6" t="s">
        <v>16</v>
      </c>
      <c r="D5" s="4" t="s">
        <v>10</v>
      </c>
      <c r="E5" s="7" t="s">
        <v>27</v>
      </c>
      <c r="F5" s="7">
        <v>250</v>
      </c>
      <c r="G5" s="8" t="e">
        <f t="shared" si="0"/>
        <v>#VALUE!</v>
      </c>
    </row>
    <row r="6" spans="1:15" x14ac:dyDescent="0.25">
      <c r="A6" s="9">
        <v>44730</v>
      </c>
      <c r="B6" s="10" t="s">
        <v>7</v>
      </c>
      <c r="C6" s="6" t="s">
        <v>16</v>
      </c>
      <c r="D6" s="10" t="s">
        <v>11</v>
      </c>
      <c r="E6" s="7">
        <v>114</v>
      </c>
      <c r="F6" s="7">
        <v>50</v>
      </c>
      <c r="G6" s="8">
        <f t="shared" si="0"/>
        <v>5700</v>
      </c>
    </row>
    <row r="7" spans="1:15" x14ac:dyDescent="0.25">
      <c r="A7" s="9">
        <v>44642</v>
      </c>
      <c r="B7" s="10" t="s">
        <v>9</v>
      </c>
      <c r="C7" s="6" t="s">
        <v>16</v>
      </c>
      <c r="D7" s="10" t="s">
        <v>12</v>
      </c>
      <c r="E7" s="7">
        <v>126</v>
      </c>
      <c r="F7" s="7">
        <v>75</v>
      </c>
      <c r="G7" s="8">
        <f t="shared" si="0"/>
        <v>9450</v>
      </c>
    </row>
    <row r="8" spans="1:15" x14ac:dyDescent="0.25">
      <c r="A8" s="9">
        <v>44698</v>
      </c>
      <c r="B8" s="10" t="s">
        <v>14</v>
      </c>
      <c r="C8" s="5" t="s">
        <v>16</v>
      </c>
      <c r="D8" s="4" t="s">
        <v>13</v>
      </c>
      <c r="E8" s="7">
        <v>6</v>
      </c>
      <c r="F8" s="7">
        <v>75</v>
      </c>
      <c r="G8" s="8">
        <f t="shared" si="0"/>
        <v>450</v>
      </c>
      <c r="N8" s="12"/>
    </row>
    <row r="9" spans="1:15" x14ac:dyDescent="0.25">
      <c r="A9" s="9">
        <v>44718</v>
      </c>
      <c r="B9" s="10" t="s">
        <v>7</v>
      </c>
      <c r="C9" s="5" t="s">
        <v>6</v>
      </c>
      <c r="D9" s="10" t="s">
        <v>11</v>
      </c>
      <c r="E9" s="7">
        <v>139</v>
      </c>
      <c r="F9" s="7">
        <v>50</v>
      </c>
      <c r="G9" s="8">
        <f t="shared" si="0"/>
        <v>6950</v>
      </c>
    </row>
    <row r="10" spans="1:15" x14ac:dyDescent="0.25">
      <c r="A10" s="9">
        <v>44635</v>
      </c>
      <c r="B10" s="10" t="s">
        <v>7</v>
      </c>
      <c r="C10" s="5" t="s">
        <v>6</v>
      </c>
      <c r="D10" s="4" t="s">
        <v>11</v>
      </c>
      <c r="E10" s="7">
        <v>87</v>
      </c>
      <c r="F10" s="7">
        <v>75</v>
      </c>
      <c r="G10" s="8">
        <f t="shared" si="0"/>
        <v>6525</v>
      </c>
      <c r="O10" s="13"/>
    </row>
    <row r="11" spans="1:15" x14ac:dyDescent="0.25">
      <c r="A11" s="9">
        <v>44742</v>
      </c>
      <c r="B11" s="10" t="s">
        <v>7</v>
      </c>
      <c r="C11" s="5" t="s">
        <v>6</v>
      </c>
      <c r="D11" s="4" t="s">
        <v>11</v>
      </c>
      <c r="E11" s="7">
        <v>33</v>
      </c>
      <c r="F11" s="7">
        <v>250</v>
      </c>
      <c r="G11" s="8">
        <f t="shared" si="0"/>
        <v>8250</v>
      </c>
    </row>
    <row r="12" spans="1:15" x14ac:dyDescent="0.25">
      <c r="A12" s="9">
        <v>44743</v>
      </c>
      <c r="B12" s="4" t="s">
        <v>7</v>
      </c>
      <c r="C12" s="5" t="s">
        <v>6</v>
      </c>
      <c r="D12" s="4" t="s">
        <v>8</v>
      </c>
      <c r="E12" s="7">
        <v>12</v>
      </c>
      <c r="F12" s="7">
        <v>450</v>
      </c>
      <c r="G12" s="8">
        <f t="shared" si="0"/>
        <v>5400</v>
      </c>
    </row>
    <row r="13" spans="1:15" x14ac:dyDescent="0.25">
      <c r="A13" s="9">
        <v>44744</v>
      </c>
      <c r="B13" s="10" t="s">
        <v>9</v>
      </c>
      <c r="C13" s="5" t="s">
        <v>6</v>
      </c>
      <c r="D13" s="10" t="s">
        <v>10</v>
      </c>
      <c r="E13" s="7">
        <v>140</v>
      </c>
      <c r="F13" s="7">
        <v>30</v>
      </c>
      <c r="G13" s="8">
        <f t="shared" si="0"/>
        <v>4200</v>
      </c>
    </row>
    <row r="14" spans="1:15" x14ac:dyDescent="0.25">
      <c r="A14" s="9">
        <v>44745</v>
      </c>
      <c r="B14" s="4" t="s">
        <v>7</v>
      </c>
      <c r="C14" s="5" t="s">
        <v>6</v>
      </c>
      <c r="D14" s="4" t="s">
        <v>10</v>
      </c>
      <c r="E14" s="7">
        <v>28</v>
      </c>
      <c r="F14" s="7">
        <v>450</v>
      </c>
      <c r="G14" s="8">
        <f t="shared" si="0"/>
        <v>12600</v>
      </c>
    </row>
    <row r="15" spans="1:15" x14ac:dyDescent="0.25">
      <c r="A15" s="9">
        <v>44746</v>
      </c>
      <c r="B15" s="10" t="s">
        <v>7</v>
      </c>
      <c r="C15" s="5" t="s">
        <v>6</v>
      </c>
      <c r="D15" s="4" t="s">
        <v>10</v>
      </c>
      <c r="E15" s="7">
        <v>67</v>
      </c>
      <c r="F15" s="7">
        <v>250</v>
      </c>
      <c r="G15" s="8">
        <f t="shared" si="0"/>
        <v>16750</v>
      </c>
      <c r="O15" s="14"/>
    </row>
    <row r="16" spans="1:15" x14ac:dyDescent="0.25">
      <c r="A16" s="9">
        <v>44747</v>
      </c>
      <c r="B16" s="10" t="s">
        <v>7</v>
      </c>
      <c r="C16" s="5" t="s">
        <v>6</v>
      </c>
      <c r="D16" s="10" t="s">
        <v>11</v>
      </c>
      <c r="E16" s="7">
        <v>119</v>
      </c>
      <c r="F16" s="7">
        <v>50</v>
      </c>
      <c r="G16" s="8">
        <f t="shared" si="0"/>
        <v>5950</v>
      </c>
    </row>
    <row r="17" spans="1:15" x14ac:dyDescent="0.25">
      <c r="A17" s="9">
        <v>44748</v>
      </c>
      <c r="B17" s="10" t="s">
        <v>9</v>
      </c>
      <c r="C17" s="5" t="s">
        <v>6</v>
      </c>
      <c r="D17" s="10" t="s">
        <v>12</v>
      </c>
      <c r="E17" s="7">
        <v>131</v>
      </c>
      <c r="F17" s="7">
        <v>75</v>
      </c>
      <c r="G17" s="8">
        <f t="shared" si="0"/>
        <v>9825</v>
      </c>
      <c r="O17" s="15"/>
    </row>
    <row r="18" spans="1:15" x14ac:dyDescent="0.25">
      <c r="A18" s="9">
        <v>44757</v>
      </c>
      <c r="B18" s="10" t="s">
        <v>7</v>
      </c>
      <c r="C18" s="5" t="s">
        <v>6</v>
      </c>
      <c r="D18" s="10" t="s">
        <v>11</v>
      </c>
      <c r="E18" s="7">
        <v>144</v>
      </c>
      <c r="F18" s="7">
        <v>50</v>
      </c>
      <c r="G18" s="8">
        <f t="shared" si="0"/>
        <v>7200</v>
      </c>
    </row>
    <row r="19" spans="1:15" x14ac:dyDescent="0.25">
      <c r="A19" s="9">
        <v>44758</v>
      </c>
      <c r="B19" s="10" t="s">
        <v>7</v>
      </c>
      <c r="C19" s="5" t="s">
        <v>6</v>
      </c>
      <c r="D19" s="4" t="s">
        <v>11</v>
      </c>
      <c r="E19" s="7">
        <v>92</v>
      </c>
      <c r="F19" s="7">
        <v>75</v>
      </c>
      <c r="G19" s="8">
        <f t="shared" si="0"/>
        <v>6900</v>
      </c>
    </row>
    <row r="20" spans="1:15" x14ac:dyDescent="0.25">
      <c r="A20" s="9">
        <v>44759</v>
      </c>
      <c r="B20" s="10" t="s">
        <v>7</v>
      </c>
      <c r="C20" s="5" t="s">
        <v>6</v>
      </c>
      <c r="D20" s="4" t="s">
        <v>11</v>
      </c>
      <c r="E20" s="7">
        <v>38</v>
      </c>
      <c r="F20" s="7">
        <v>250</v>
      </c>
      <c r="G20" s="8">
        <f t="shared" si="0"/>
        <v>9500</v>
      </c>
    </row>
    <row r="21" spans="1:15" x14ac:dyDescent="0.25">
      <c r="A21" s="3">
        <v>44650</v>
      </c>
      <c r="B21" s="4" t="s">
        <v>9</v>
      </c>
      <c r="C21" s="5" t="s">
        <v>19</v>
      </c>
      <c r="D21" s="4" t="s">
        <v>12</v>
      </c>
      <c r="E21" s="7">
        <v>215</v>
      </c>
      <c r="F21" s="7">
        <v>25</v>
      </c>
      <c r="G21" s="8">
        <f t="shared" si="0"/>
        <v>5375</v>
      </c>
    </row>
    <row r="22" spans="1:15" x14ac:dyDescent="0.25">
      <c r="A22" s="9">
        <v>44718</v>
      </c>
      <c r="B22" s="10" t="s">
        <v>7</v>
      </c>
      <c r="C22" s="5" t="s">
        <v>19</v>
      </c>
      <c r="D22" s="4" t="s">
        <v>12</v>
      </c>
      <c r="E22" s="7">
        <v>152</v>
      </c>
      <c r="F22" s="7">
        <v>50</v>
      </c>
      <c r="G22" s="8">
        <f t="shared" si="0"/>
        <v>7600</v>
      </c>
    </row>
    <row r="23" spans="1:15" x14ac:dyDescent="0.25">
      <c r="A23" s="9">
        <v>44702</v>
      </c>
      <c r="B23" s="10" t="s">
        <v>9</v>
      </c>
      <c r="C23" s="5" t="s">
        <v>19</v>
      </c>
      <c r="D23" s="4" t="s">
        <v>13</v>
      </c>
      <c r="E23" s="7">
        <v>70</v>
      </c>
      <c r="F23" s="7">
        <v>75</v>
      </c>
      <c r="G23" s="8">
        <f t="shared" si="0"/>
        <v>5250</v>
      </c>
    </row>
    <row r="24" spans="1:15" x14ac:dyDescent="0.25">
      <c r="A24" s="9">
        <v>44654</v>
      </c>
      <c r="B24" s="10" t="s">
        <v>7</v>
      </c>
      <c r="C24" s="5" t="s">
        <v>19</v>
      </c>
      <c r="D24" s="4" t="s">
        <v>13</v>
      </c>
      <c r="E24" s="7">
        <v>261</v>
      </c>
      <c r="F24" s="7">
        <v>30</v>
      </c>
      <c r="G24" s="8">
        <f t="shared" si="0"/>
        <v>7830</v>
      </c>
    </row>
    <row r="25" spans="1:15" x14ac:dyDescent="0.25">
      <c r="A25" s="11">
        <v>44577</v>
      </c>
      <c r="B25" s="10" t="s">
        <v>7</v>
      </c>
      <c r="C25" s="5" t="s">
        <v>19</v>
      </c>
      <c r="D25" s="4" t="s">
        <v>13</v>
      </c>
      <c r="E25" s="7">
        <v>99</v>
      </c>
      <c r="F25" s="7">
        <v>50</v>
      </c>
      <c r="G25" s="8">
        <f t="shared" si="0"/>
        <v>4950</v>
      </c>
    </row>
    <row r="26" spans="1:15" x14ac:dyDescent="0.25">
      <c r="A26" s="9">
        <v>44702</v>
      </c>
      <c r="B26" s="10" t="s">
        <v>9</v>
      </c>
      <c r="C26" s="5" t="s">
        <v>19</v>
      </c>
      <c r="D26" s="4" t="s">
        <v>13</v>
      </c>
      <c r="E26" s="7">
        <v>95</v>
      </c>
      <c r="F26" s="7">
        <v>75</v>
      </c>
      <c r="G26" s="8">
        <f t="shared" si="0"/>
        <v>7125</v>
      </c>
    </row>
    <row r="27" spans="1:15" x14ac:dyDescent="0.25">
      <c r="A27" s="9">
        <v>44658</v>
      </c>
      <c r="B27" s="10" t="s">
        <v>9</v>
      </c>
      <c r="C27" s="5" t="s">
        <v>19</v>
      </c>
      <c r="D27" s="10" t="s">
        <v>10</v>
      </c>
      <c r="E27" s="7">
        <v>240</v>
      </c>
      <c r="F27" s="7">
        <v>30</v>
      </c>
      <c r="G27" s="8">
        <f t="shared" si="0"/>
        <v>7200</v>
      </c>
    </row>
    <row r="28" spans="1:15" x14ac:dyDescent="0.25">
      <c r="A28" s="9">
        <v>44752</v>
      </c>
      <c r="B28" s="10" t="s">
        <v>7</v>
      </c>
      <c r="C28" s="5" t="s">
        <v>19</v>
      </c>
      <c r="D28" s="4" t="s">
        <v>13</v>
      </c>
      <c r="E28" s="7">
        <v>266</v>
      </c>
      <c r="F28" s="7">
        <v>30</v>
      </c>
      <c r="G28" s="8">
        <f t="shared" si="0"/>
        <v>7980</v>
      </c>
    </row>
    <row r="29" spans="1:15" x14ac:dyDescent="0.25">
      <c r="A29" s="9">
        <v>44753</v>
      </c>
      <c r="B29" s="10" t="s">
        <v>7</v>
      </c>
      <c r="C29" s="5" t="s">
        <v>19</v>
      </c>
      <c r="D29" s="4" t="s">
        <v>13</v>
      </c>
      <c r="E29" s="7">
        <v>104</v>
      </c>
      <c r="F29" s="7">
        <v>50</v>
      </c>
      <c r="G29" s="8">
        <f t="shared" si="0"/>
        <v>5200</v>
      </c>
    </row>
    <row r="30" spans="1:15" x14ac:dyDescent="0.25">
      <c r="A30" s="9">
        <v>44754</v>
      </c>
      <c r="B30" s="10" t="s">
        <v>9</v>
      </c>
      <c r="C30" s="5" t="s">
        <v>19</v>
      </c>
      <c r="D30" s="4" t="s">
        <v>13</v>
      </c>
      <c r="E30" s="7">
        <v>100</v>
      </c>
      <c r="F30" s="7">
        <v>75</v>
      </c>
      <c r="G30" s="8">
        <f t="shared" si="0"/>
        <v>7500</v>
      </c>
    </row>
    <row r="31" spans="1:15" x14ac:dyDescent="0.25">
      <c r="A31" s="9">
        <v>44755</v>
      </c>
      <c r="B31" s="10" t="s">
        <v>9</v>
      </c>
      <c r="C31" s="5" t="s">
        <v>19</v>
      </c>
      <c r="D31" s="10" t="s">
        <v>10</v>
      </c>
      <c r="E31" s="7">
        <v>245</v>
      </c>
      <c r="F31" s="7">
        <v>30</v>
      </c>
      <c r="G31" s="8">
        <f t="shared" si="0"/>
        <v>7350</v>
      </c>
    </row>
    <row r="32" spans="1:15" x14ac:dyDescent="0.25">
      <c r="A32" s="9">
        <v>44756</v>
      </c>
      <c r="B32" s="10" t="s">
        <v>14</v>
      </c>
      <c r="C32" s="5" t="s">
        <v>19</v>
      </c>
      <c r="D32" s="4" t="s">
        <v>13</v>
      </c>
      <c r="E32" s="7">
        <v>126</v>
      </c>
      <c r="F32" s="7">
        <v>75</v>
      </c>
      <c r="G32" s="8">
        <f t="shared" si="0"/>
        <v>9450</v>
      </c>
    </row>
    <row r="33" spans="1:7" x14ac:dyDescent="0.25">
      <c r="A33" s="9">
        <v>44749</v>
      </c>
      <c r="B33" s="4" t="s">
        <v>9</v>
      </c>
      <c r="C33" s="6" t="s">
        <v>18</v>
      </c>
      <c r="D33" s="4" t="s">
        <v>12</v>
      </c>
      <c r="E33" s="7">
        <v>220</v>
      </c>
      <c r="F33" s="7">
        <v>25</v>
      </c>
      <c r="G33" s="8">
        <f t="shared" si="0"/>
        <v>5500</v>
      </c>
    </row>
    <row r="34" spans="1:7" x14ac:dyDescent="0.25">
      <c r="A34" s="9">
        <v>44750</v>
      </c>
      <c r="B34" s="10" t="s">
        <v>7</v>
      </c>
      <c r="C34" s="5" t="s">
        <v>18</v>
      </c>
      <c r="D34" s="4" t="s">
        <v>12</v>
      </c>
      <c r="E34" s="7">
        <v>157</v>
      </c>
      <c r="F34" s="7">
        <v>50</v>
      </c>
      <c r="G34" s="8">
        <f t="shared" si="0"/>
        <v>7850</v>
      </c>
    </row>
    <row r="35" spans="1:7" x14ac:dyDescent="0.25">
      <c r="A35" s="9">
        <v>44751</v>
      </c>
      <c r="B35" s="10" t="s">
        <v>9</v>
      </c>
      <c r="C35" s="5" t="s">
        <v>18</v>
      </c>
      <c r="D35" s="4" t="s">
        <v>13</v>
      </c>
      <c r="E35" s="7">
        <v>75</v>
      </c>
      <c r="F35" s="7">
        <v>75</v>
      </c>
      <c r="G35" s="8">
        <f t="shared" si="0"/>
        <v>5625</v>
      </c>
    </row>
  </sheetData>
  <autoFilter ref="A1:G35" xr:uid="{520DE27B-BBA1-4A8E-87F0-70D9DDBCDB12}"/>
  <pageMargins left="0.25" right="0.25" top="0.75" bottom="0.75" header="0.3" footer="0.3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8C0EDD-2F30-48C7-B940-EE8E124421E4}">
          <x14:formula1>
            <xm:f>Ayarlar!$D$2:$D$4</xm:f>
          </x14:formula1>
          <xm:sqref>B13:B24 B10:B11 B2:B7 B30:B35 B27:B28</xm:sqref>
        </x14:dataValidation>
        <x14:dataValidation type="list" allowBlank="1" showInputMessage="1" showErrorMessage="1" xr:uid="{D65DE15A-C8A5-484F-BD2B-A3943B7151D4}">
          <x14:formula1>
            <xm:f>Ayarlar!$B$2:$B$6</xm:f>
          </x14:formula1>
          <xm:sqref>C2:C25 C28:C34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C309-57F2-421A-9A9E-C9909B9F632F}">
  <sheetPr filterMode="1">
    <pageSetUpPr fitToPage="1"/>
  </sheetPr>
  <dimension ref="A1:G38"/>
  <sheetViews>
    <sheetView showGridLines="0" zoomScaleNormal="100" workbookViewId="0">
      <selection activeCell="B2" sqref="B2"/>
    </sheetView>
  </sheetViews>
  <sheetFormatPr defaultRowHeight="15" x14ac:dyDescent="0.25"/>
  <cols>
    <col min="1" max="1" width="16.7109375" style="16" bestFit="1" customWidth="1"/>
    <col min="2" max="2" width="19" style="12" customWidth="1"/>
    <col min="3" max="3" width="17.140625" style="17" customWidth="1"/>
    <col min="4" max="4" width="17.7109375" style="12" bestFit="1" customWidth="1"/>
    <col min="5" max="5" width="9" style="12" customWidth="1"/>
    <col min="6" max="6" width="9.5703125" style="12" customWidth="1"/>
    <col min="7" max="7" width="13.5703125" style="18" bestFit="1" customWidth="1"/>
  </cols>
  <sheetData>
    <row r="1" spans="1:7" ht="15.75" x14ac:dyDescent="0.25">
      <c r="A1" s="22"/>
      <c r="B1" s="22" t="s">
        <v>25</v>
      </c>
      <c r="C1" s="22" t="s">
        <v>23</v>
      </c>
      <c r="D1" s="22" t="s">
        <v>24</v>
      </c>
      <c r="E1" s="23"/>
      <c r="F1" s="23"/>
      <c r="G1" s="24"/>
    </row>
    <row r="2" spans="1:7" ht="15.75" x14ac:dyDescent="0.25">
      <c r="A2" s="29"/>
      <c r="B2" s="29">
        <f>_xlfn.AGGREGATE(9,6,G:G)</f>
        <v>234985</v>
      </c>
      <c r="C2" s="25">
        <f>_xlfn.AGGREGATE(2,6,G:G)</f>
        <v>33</v>
      </c>
      <c r="D2" s="26">
        <f>_xlfn.AGGREGATE(1,6,G:G)</f>
        <v>7120.757575757576</v>
      </c>
      <c r="E2" s="27"/>
      <c r="F2" s="27"/>
      <c r="G2" s="28"/>
    </row>
    <row r="4" spans="1:7" ht="20.25" customHeight="1" x14ac:dyDescent="0.25">
      <c r="A4" s="1" t="s">
        <v>0</v>
      </c>
      <c r="B4" s="1" t="s">
        <v>1</v>
      </c>
      <c r="C4" s="1" t="s">
        <v>15</v>
      </c>
      <c r="D4" s="1" t="s">
        <v>2</v>
      </c>
      <c r="E4" s="1" t="s">
        <v>3</v>
      </c>
      <c r="F4" s="1" t="s">
        <v>4</v>
      </c>
      <c r="G4" s="2" t="s">
        <v>5</v>
      </c>
    </row>
    <row r="5" spans="1:7" hidden="1" x14ac:dyDescent="0.25">
      <c r="A5" s="3">
        <v>44674</v>
      </c>
      <c r="B5" s="4" t="s">
        <v>7</v>
      </c>
      <c r="C5" s="6" t="s">
        <v>16</v>
      </c>
      <c r="D5" s="4" t="s">
        <v>8</v>
      </c>
      <c r="E5" s="7">
        <v>7</v>
      </c>
      <c r="F5" s="7">
        <v>450</v>
      </c>
      <c r="G5" s="8">
        <f t="shared" ref="G5:G38" si="0">E5*F5</f>
        <v>3150</v>
      </c>
    </row>
    <row r="6" spans="1:7" hidden="1" x14ac:dyDescent="0.25">
      <c r="A6" s="9">
        <v>44670</v>
      </c>
      <c r="B6" s="10" t="s">
        <v>9</v>
      </c>
      <c r="C6" s="6" t="s">
        <v>16</v>
      </c>
      <c r="D6" s="10" t="s">
        <v>10</v>
      </c>
      <c r="E6" s="7">
        <v>135</v>
      </c>
      <c r="F6" s="7">
        <v>30</v>
      </c>
      <c r="G6" s="8">
        <f t="shared" si="0"/>
        <v>4050</v>
      </c>
    </row>
    <row r="7" spans="1:7" hidden="1" x14ac:dyDescent="0.25">
      <c r="A7" s="3">
        <v>44674</v>
      </c>
      <c r="B7" s="4" t="s">
        <v>7</v>
      </c>
      <c r="C7" s="6" t="s">
        <v>16</v>
      </c>
      <c r="D7" s="4" t="s">
        <v>10</v>
      </c>
      <c r="E7" s="7">
        <v>23</v>
      </c>
      <c r="F7" s="7">
        <v>450</v>
      </c>
      <c r="G7" s="8">
        <f t="shared" si="0"/>
        <v>10350</v>
      </c>
    </row>
    <row r="8" spans="1:7" hidden="1" x14ac:dyDescent="0.25">
      <c r="A8" s="11">
        <v>44583</v>
      </c>
      <c r="B8" s="10" t="s">
        <v>7</v>
      </c>
      <c r="C8" s="6" t="s">
        <v>16</v>
      </c>
      <c r="D8" s="4" t="s">
        <v>10</v>
      </c>
      <c r="E8" s="7" t="s">
        <v>27</v>
      </c>
      <c r="F8" s="7">
        <v>250</v>
      </c>
      <c r="G8" s="8" t="e">
        <f t="shared" si="0"/>
        <v>#VALUE!</v>
      </c>
    </row>
    <row r="9" spans="1:7" hidden="1" x14ac:dyDescent="0.25">
      <c r="A9" s="9">
        <v>44730</v>
      </c>
      <c r="B9" s="10" t="s">
        <v>7</v>
      </c>
      <c r="C9" s="6" t="s">
        <v>16</v>
      </c>
      <c r="D9" s="10" t="s">
        <v>11</v>
      </c>
      <c r="E9" s="7">
        <v>114</v>
      </c>
      <c r="F9" s="7">
        <v>50</v>
      </c>
      <c r="G9" s="8">
        <f t="shared" si="0"/>
        <v>5700</v>
      </c>
    </row>
    <row r="10" spans="1:7" hidden="1" x14ac:dyDescent="0.25">
      <c r="A10" s="9">
        <v>44642</v>
      </c>
      <c r="B10" s="10" t="s">
        <v>9</v>
      </c>
      <c r="C10" s="6" t="s">
        <v>16</v>
      </c>
      <c r="D10" s="10" t="s">
        <v>12</v>
      </c>
      <c r="E10" s="7">
        <v>126</v>
      </c>
      <c r="F10" s="7">
        <v>75</v>
      </c>
      <c r="G10" s="8">
        <f t="shared" si="0"/>
        <v>9450</v>
      </c>
    </row>
    <row r="11" spans="1:7" hidden="1" x14ac:dyDescent="0.25">
      <c r="A11" s="9">
        <v>44698</v>
      </c>
      <c r="B11" s="10" t="s">
        <v>14</v>
      </c>
      <c r="C11" s="5" t="s">
        <v>16</v>
      </c>
      <c r="D11" s="4" t="s">
        <v>13</v>
      </c>
      <c r="E11" s="7">
        <v>6</v>
      </c>
      <c r="F11" s="7">
        <v>75</v>
      </c>
      <c r="G11" s="8">
        <f t="shared" si="0"/>
        <v>450</v>
      </c>
    </row>
    <row r="12" spans="1:7" x14ac:dyDescent="0.25">
      <c r="A12" s="9">
        <v>44718</v>
      </c>
      <c r="B12" s="10" t="s">
        <v>7</v>
      </c>
      <c r="C12" s="5" t="s">
        <v>6</v>
      </c>
      <c r="D12" s="10" t="s">
        <v>11</v>
      </c>
      <c r="E12" s="7">
        <v>139</v>
      </c>
      <c r="F12" s="7">
        <v>50</v>
      </c>
      <c r="G12" s="8">
        <f t="shared" si="0"/>
        <v>6950</v>
      </c>
    </row>
    <row r="13" spans="1:7" x14ac:dyDescent="0.25">
      <c r="A13" s="9">
        <v>44635</v>
      </c>
      <c r="B13" s="10" t="s">
        <v>7</v>
      </c>
      <c r="C13" s="5" t="s">
        <v>6</v>
      </c>
      <c r="D13" s="4" t="s">
        <v>11</v>
      </c>
      <c r="E13" s="7">
        <v>87</v>
      </c>
      <c r="F13" s="7">
        <v>75</v>
      </c>
      <c r="G13" s="8">
        <f t="shared" si="0"/>
        <v>6525</v>
      </c>
    </row>
    <row r="14" spans="1:7" x14ac:dyDescent="0.25">
      <c r="A14" s="9">
        <v>44742</v>
      </c>
      <c r="B14" s="10" t="s">
        <v>7</v>
      </c>
      <c r="C14" s="5" t="s">
        <v>6</v>
      </c>
      <c r="D14" s="4" t="s">
        <v>11</v>
      </c>
      <c r="E14" s="7">
        <v>33</v>
      </c>
      <c r="F14" s="7">
        <v>250</v>
      </c>
      <c r="G14" s="8">
        <f t="shared" si="0"/>
        <v>8250</v>
      </c>
    </row>
    <row r="15" spans="1:7" x14ac:dyDescent="0.25">
      <c r="A15" s="9">
        <v>44743</v>
      </c>
      <c r="B15" s="4" t="s">
        <v>7</v>
      </c>
      <c r="C15" s="5" t="s">
        <v>6</v>
      </c>
      <c r="D15" s="4" t="s">
        <v>8</v>
      </c>
      <c r="E15" s="7">
        <v>12</v>
      </c>
      <c r="F15" s="7">
        <v>450</v>
      </c>
      <c r="G15" s="8">
        <f t="shared" si="0"/>
        <v>5400</v>
      </c>
    </row>
    <row r="16" spans="1:7" x14ac:dyDescent="0.25">
      <c r="A16" s="9">
        <v>44744</v>
      </c>
      <c r="B16" s="10" t="s">
        <v>9</v>
      </c>
      <c r="C16" s="5" t="s">
        <v>6</v>
      </c>
      <c r="D16" s="10" t="s">
        <v>10</v>
      </c>
      <c r="E16" s="7">
        <v>140</v>
      </c>
      <c r="F16" s="7">
        <v>30</v>
      </c>
      <c r="G16" s="8">
        <f t="shared" si="0"/>
        <v>4200</v>
      </c>
    </row>
    <row r="17" spans="1:7" x14ac:dyDescent="0.25">
      <c r="A17" s="9">
        <v>44745</v>
      </c>
      <c r="B17" s="4" t="s">
        <v>7</v>
      </c>
      <c r="C17" s="5" t="s">
        <v>6</v>
      </c>
      <c r="D17" s="4" t="s">
        <v>10</v>
      </c>
      <c r="E17" s="7">
        <v>28</v>
      </c>
      <c r="F17" s="7">
        <v>450</v>
      </c>
      <c r="G17" s="8">
        <f t="shared" si="0"/>
        <v>12600</v>
      </c>
    </row>
    <row r="18" spans="1:7" x14ac:dyDescent="0.25">
      <c r="A18" s="9">
        <v>44746</v>
      </c>
      <c r="B18" s="10" t="s">
        <v>7</v>
      </c>
      <c r="C18" s="5" t="s">
        <v>6</v>
      </c>
      <c r="D18" s="4" t="s">
        <v>10</v>
      </c>
      <c r="E18" s="7">
        <v>67</v>
      </c>
      <c r="F18" s="7">
        <v>250</v>
      </c>
      <c r="G18" s="8">
        <f t="shared" si="0"/>
        <v>16750</v>
      </c>
    </row>
    <row r="19" spans="1:7" x14ac:dyDescent="0.25">
      <c r="A19" s="9">
        <v>44747</v>
      </c>
      <c r="B19" s="10" t="s">
        <v>7</v>
      </c>
      <c r="C19" s="5" t="s">
        <v>6</v>
      </c>
      <c r="D19" s="10" t="s">
        <v>11</v>
      </c>
      <c r="E19" s="7">
        <v>119</v>
      </c>
      <c r="F19" s="7">
        <v>50</v>
      </c>
      <c r="G19" s="8">
        <f t="shared" si="0"/>
        <v>5950</v>
      </c>
    </row>
    <row r="20" spans="1:7" x14ac:dyDescent="0.25">
      <c r="A20" s="9">
        <v>44748</v>
      </c>
      <c r="B20" s="10" t="s">
        <v>9</v>
      </c>
      <c r="C20" s="5" t="s">
        <v>6</v>
      </c>
      <c r="D20" s="10" t="s">
        <v>12</v>
      </c>
      <c r="E20" s="7">
        <v>131</v>
      </c>
      <c r="F20" s="7">
        <v>75</v>
      </c>
      <c r="G20" s="8">
        <f t="shared" si="0"/>
        <v>9825</v>
      </c>
    </row>
    <row r="21" spans="1:7" x14ac:dyDescent="0.25">
      <c r="A21" s="9">
        <v>44757</v>
      </c>
      <c r="B21" s="10" t="s">
        <v>7</v>
      </c>
      <c r="C21" s="5" t="s">
        <v>6</v>
      </c>
      <c r="D21" s="10" t="s">
        <v>11</v>
      </c>
      <c r="E21" s="7">
        <v>144</v>
      </c>
      <c r="F21" s="7">
        <v>50</v>
      </c>
      <c r="G21" s="8">
        <f t="shared" si="0"/>
        <v>7200</v>
      </c>
    </row>
    <row r="22" spans="1:7" x14ac:dyDescent="0.25">
      <c r="A22" s="9">
        <v>44758</v>
      </c>
      <c r="B22" s="10" t="s">
        <v>7</v>
      </c>
      <c r="C22" s="5" t="s">
        <v>6</v>
      </c>
      <c r="D22" s="4" t="s">
        <v>11</v>
      </c>
      <c r="E22" s="7">
        <v>92</v>
      </c>
      <c r="F22" s="7">
        <v>75</v>
      </c>
      <c r="G22" s="8">
        <f t="shared" si="0"/>
        <v>6900</v>
      </c>
    </row>
    <row r="23" spans="1:7" x14ac:dyDescent="0.25">
      <c r="A23" s="9">
        <v>44759</v>
      </c>
      <c r="B23" s="10" t="s">
        <v>7</v>
      </c>
      <c r="C23" s="5" t="s">
        <v>6</v>
      </c>
      <c r="D23" s="4" t="s">
        <v>11</v>
      </c>
      <c r="E23" s="7">
        <v>38</v>
      </c>
      <c r="F23" s="7">
        <v>250</v>
      </c>
      <c r="G23" s="8">
        <f t="shared" si="0"/>
        <v>9500</v>
      </c>
    </row>
    <row r="24" spans="1:7" hidden="1" x14ac:dyDescent="0.25">
      <c r="A24" s="3">
        <v>44650</v>
      </c>
      <c r="B24" s="4" t="s">
        <v>9</v>
      </c>
      <c r="C24" s="5" t="s">
        <v>19</v>
      </c>
      <c r="D24" s="4" t="s">
        <v>12</v>
      </c>
      <c r="E24" s="7">
        <v>215</v>
      </c>
      <c r="F24" s="7">
        <v>25</v>
      </c>
      <c r="G24" s="8">
        <f t="shared" si="0"/>
        <v>5375</v>
      </c>
    </row>
    <row r="25" spans="1:7" hidden="1" x14ac:dyDescent="0.25">
      <c r="A25" s="9">
        <v>44718</v>
      </c>
      <c r="B25" s="10" t="s">
        <v>7</v>
      </c>
      <c r="C25" s="5" t="s">
        <v>19</v>
      </c>
      <c r="D25" s="4" t="s">
        <v>12</v>
      </c>
      <c r="E25" s="7">
        <v>152</v>
      </c>
      <c r="F25" s="7">
        <v>50</v>
      </c>
      <c r="G25" s="8">
        <f t="shared" si="0"/>
        <v>7600</v>
      </c>
    </row>
    <row r="26" spans="1:7" hidden="1" x14ac:dyDescent="0.25">
      <c r="A26" s="9">
        <v>44702</v>
      </c>
      <c r="B26" s="10" t="s">
        <v>9</v>
      </c>
      <c r="C26" s="5" t="s">
        <v>19</v>
      </c>
      <c r="D26" s="4" t="s">
        <v>13</v>
      </c>
      <c r="E26" s="7">
        <v>70</v>
      </c>
      <c r="F26" s="7">
        <v>75</v>
      </c>
      <c r="G26" s="8">
        <f t="shared" si="0"/>
        <v>5250</v>
      </c>
    </row>
    <row r="27" spans="1:7" hidden="1" x14ac:dyDescent="0.25">
      <c r="A27" s="9">
        <v>44654</v>
      </c>
      <c r="B27" s="10" t="s">
        <v>7</v>
      </c>
      <c r="C27" s="5" t="s">
        <v>19</v>
      </c>
      <c r="D27" s="4" t="s">
        <v>13</v>
      </c>
      <c r="E27" s="7">
        <v>261</v>
      </c>
      <c r="F27" s="7">
        <v>30</v>
      </c>
      <c r="G27" s="8">
        <f t="shared" si="0"/>
        <v>7830</v>
      </c>
    </row>
    <row r="28" spans="1:7" hidden="1" x14ac:dyDescent="0.25">
      <c r="A28" s="11">
        <v>44577</v>
      </c>
      <c r="B28" s="10" t="s">
        <v>7</v>
      </c>
      <c r="C28" s="5" t="s">
        <v>19</v>
      </c>
      <c r="D28" s="4" t="s">
        <v>13</v>
      </c>
      <c r="E28" s="7">
        <v>99</v>
      </c>
      <c r="F28" s="7">
        <v>50</v>
      </c>
      <c r="G28" s="8">
        <f t="shared" si="0"/>
        <v>4950</v>
      </c>
    </row>
    <row r="29" spans="1:7" hidden="1" x14ac:dyDescent="0.25">
      <c r="A29" s="9">
        <v>44702</v>
      </c>
      <c r="B29" s="10" t="s">
        <v>9</v>
      </c>
      <c r="C29" s="5" t="s">
        <v>19</v>
      </c>
      <c r="D29" s="4" t="s">
        <v>13</v>
      </c>
      <c r="E29" s="7">
        <v>95</v>
      </c>
      <c r="F29" s="7">
        <v>75</v>
      </c>
      <c r="G29" s="8">
        <f t="shared" si="0"/>
        <v>7125</v>
      </c>
    </row>
    <row r="30" spans="1:7" hidden="1" x14ac:dyDescent="0.25">
      <c r="A30" s="9">
        <v>44658</v>
      </c>
      <c r="B30" s="10" t="s">
        <v>9</v>
      </c>
      <c r="C30" s="5" t="s">
        <v>19</v>
      </c>
      <c r="D30" s="10" t="s">
        <v>10</v>
      </c>
      <c r="E30" s="7">
        <v>240</v>
      </c>
      <c r="F30" s="7">
        <v>30</v>
      </c>
      <c r="G30" s="8">
        <f t="shared" si="0"/>
        <v>7200</v>
      </c>
    </row>
    <row r="31" spans="1:7" hidden="1" x14ac:dyDescent="0.25">
      <c r="A31" s="9">
        <v>44752</v>
      </c>
      <c r="B31" s="10" t="s">
        <v>7</v>
      </c>
      <c r="C31" s="5" t="s">
        <v>19</v>
      </c>
      <c r="D31" s="4" t="s">
        <v>13</v>
      </c>
      <c r="E31" s="7">
        <v>266</v>
      </c>
      <c r="F31" s="7">
        <v>30</v>
      </c>
      <c r="G31" s="8">
        <f t="shared" si="0"/>
        <v>7980</v>
      </c>
    </row>
    <row r="32" spans="1:7" hidden="1" x14ac:dyDescent="0.25">
      <c r="A32" s="9">
        <v>44753</v>
      </c>
      <c r="B32" s="10" t="s">
        <v>7</v>
      </c>
      <c r="C32" s="5" t="s">
        <v>19</v>
      </c>
      <c r="D32" s="4" t="s">
        <v>13</v>
      </c>
      <c r="E32" s="7">
        <v>104</v>
      </c>
      <c r="F32" s="7">
        <v>50</v>
      </c>
      <c r="G32" s="8">
        <f t="shared" si="0"/>
        <v>5200</v>
      </c>
    </row>
    <row r="33" spans="1:7" hidden="1" x14ac:dyDescent="0.25">
      <c r="A33" s="9">
        <v>44754</v>
      </c>
      <c r="B33" s="10" t="s">
        <v>9</v>
      </c>
      <c r="C33" s="5" t="s">
        <v>19</v>
      </c>
      <c r="D33" s="4" t="s">
        <v>13</v>
      </c>
      <c r="E33" s="7">
        <v>100</v>
      </c>
      <c r="F33" s="7">
        <v>75</v>
      </c>
      <c r="G33" s="8">
        <f t="shared" si="0"/>
        <v>7500</v>
      </c>
    </row>
    <row r="34" spans="1:7" hidden="1" x14ac:dyDescent="0.25">
      <c r="A34" s="9">
        <v>44755</v>
      </c>
      <c r="B34" s="10" t="s">
        <v>9</v>
      </c>
      <c r="C34" s="5" t="s">
        <v>19</v>
      </c>
      <c r="D34" s="10" t="s">
        <v>10</v>
      </c>
      <c r="E34" s="7">
        <v>245</v>
      </c>
      <c r="F34" s="7">
        <v>30</v>
      </c>
      <c r="G34" s="8">
        <f t="shared" si="0"/>
        <v>7350</v>
      </c>
    </row>
    <row r="35" spans="1:7" hidden="1" x14ac:dyDescent="0.25">
      <c r="A35" s="9">
        <v>44756</v>
      </c>
      <c r="B35" s="10" t="s">
        <v>14</v>
      </c>
      <c r="C35" s="5" t="s">
        <v>19</v>
      </c>
      <c r="D35" s="4" t="s">
        <v>13</v>
      </c>
      <c r="E35" s="7">
        <v>126</v>
      </c>
      <c r="F35" s="7">
        <v>75</v>
      </c>
      <c r="G35" s="8">
        <f t="shared" si="0"/>
        <v>9450</v>
      </c>
    </row>
    <row r="36" spans="1:7" hidden="1" x14ac:dyDescent="0.25">
      <c r="A36" s="9">
        <v>44749</v>
      </c>
      <c r="B36" s="4" t="s">
        <v>9</v>
      </c>
      <c r="C36" s="6" t="s">
        <v>18</v>
      </c>
      <c r="D36" s="4" t="s">
        <v>12</v>
      </c>
      <c r="E36" s="7">
        <v>220</v>
      </c>
      <c r="F36" s="7">
        <v>25</v>
      </c>
      <c r="G36" s="8">
        <f t="shared" si="0"/>
        <v>5500</v>
      </c>
    </row>
    <row r="37" spans="1:7" hidden="1" x14ac:dyDescent="0.25">
      <c r="A37" s="9">
        <v>44750</v>
      </c>
      <c r="B37" s="10" t="s">
        <v>7</v>
      </c>
      <c r="C37" s="5" t="s">
        <v>18</v>
      </c>
      <c r="D37" s="4" t="s">
        <v>12</v>
      </c>
      <c r="E37" s="7">
        <v>157</v>
      </c>
      <c r="F37" s="7">
        <v>50</v>
      </c>
      <c r="G37" s="8">
        <f t="shared" si="0"/>
        <v>7850</v>
      </c>
    </row>
    <row r="38" spans="1:7" hidden="1" x14ac:dyDescent="0.25">
      <c r="A38" s="9">
        <v>44751</v>
      </c>
      <c r="B38" s="10" t="s">
        <v>9</v>
      </c>
      <c r="C38" s="5" t="s">
        <v>18</v>
      </c>
      <c r="D38" s="4" t="s">
        <v>13</v>
      </c>
      <c r="E38" s="7">
        <v>75</v>
      </c>
      <c r="F38" s="7">
        <v>75</v>
      </c>
      <c r="G38" s="8">
        <f t="shared" si="0"/>
        <v>5625</v>
      </c>
    </row>
  </sheetData>
  <autoFilter ref="A4:G38" xr:uid="{7A0B0905-5ED6-4005-95B6-6A880B61AADF}">
    <filterColumn colId="2">
      <filters>
        <filter val="İstanbul"/>
      </filters>
    </filterColumn>
  </autoFilter>
  <pageMargins left="0.25" right="0.25" top="0.75" bottom="0.75" header="0.3" footer="0.3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18BE4C6-7E34-49EC-8DB9-55A26C871D7D}">
          <x14:formula1>
            <xm:f>Ayarlar!$B$2:$B$6</xm:f>
          </x14:formula1>
          <xm:sqref>C5:C28 C31:C37</xm:sqref>
        </x14:dataValidation>
        <x14:dataValidation type="list" allowBlank="1" showInputMessage="1" showErrorMessage="1" xr:uid="{E023D9EE-EDF1-485A-A5FF-01DAE7227BBA}">
          <x14:formula1>
            <xm:f>Ayarlar!$D$2:$D$4</xm:f>
          </x14:formula1>
          <xm:sqref>B16:B27 B13:B14 B5:B10 B33:B38 B30:B31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EE7F-2DF5-41E5-B09A-5FC5F0529F7C}">
  <sheetPr>
    <pageSetUpPr fitToPage="1"/>
  </sheetPr>
  <dimension ref="A1:K36"/>
  <sheetViews>
    <sheetView showGridLines="0" zoomScaleNormal="100" workbookViewId="0">
      <selection activeCell="K12" sqref="K12"/>
    </sheetView>
  </sheetViews>
  <sheetFormatPr defaultRowHeight="15" x14ac:dyDescent="0.25"/>
  <cols>
    <col min="1" max="1" width="11.5703125" style="16" customWidth="1"/>
    <col min="2" max="2" width="16.42578125" style="12" bestFit="1" customWidth="1"/>
    <col min="3" max="3" width="11.7109375" style="17" customWidth="1"/>
    <col min="4" max="4" width="13.85546875" style="12" customWidth="1"/>
    <col min="5" max="5" width="6" style="32" customWidth="1"/>
    <col min="6" max="6" width="8.7109375" style="12" customWidth="1"/>
    <col min="7" max="7" width="12.28515625" style="18" customWidth="1"/>
    <col min="8" max="9" width="3.85546875" customWidth="1"/>
    <col min="10" max="11" width="23.5703125" bestFit="1" customWidth="1"/>
  </cols>
  <sheetData>
    <row r="1" spans="1:11" x14ac:dyDescent="0.25">
      <c r="J1" s="30" t="s">
        <v>28</v>
      </c>
      <c r="K1" s="30" t="s">
        <v>29</v>
      </c>
    </row>
    <row r="2" spans="1:11" ht="15.75" x14ac:dyDescent="0.25">
      <c r="A2" s="1" t="s">
        <v>0</v>
      </c>
      <c r="B2" s="1" t="s">
        <v>1</v>
      </c>
      <c r="C2" s="1" t="s">
        <v>15</v>
      </c>
      <c r="D2" s="1" t="s">
        <v>2</v>
      </c>
      <c r="E2" s="33" t="s">
        <v>3</v>
      </c>
      <c r="F2" s="1" t="s">
        <v>4</v>
      </c>
      <c r="G2" s="2" t="s">
        <v>5</v>
      </c>
      <c r="J2" s="31"/>
      <c r="K2" s="31"/>
    </row>
    <row r="3" spans="1:11" x14ac:dyDescent="0.25">
      <c r="A3" s="3">
        <v>44674</v>
      </c>
      <c r="B3" s="4" t="s">
        <v>7</v>
      </c>
      <c r="C3" s="6" t="s">
        <v>16</v>
      </c>
      <c r="D3" s="4" t="s">
        <v>8</v>
      </c>
      <c r="E3" s="34">
        <v>7</v>
      </c>
      <c r="F3" s="7">
        <v>450</v>
      </c>
      <c r="G3" s="8">
        <f t="shared" ref="G3:G36" si="0">E3*F3</f>
        <v>3150</v>
      </c>
      <c r="J3" s="31"/>
      <c r="K3" s="31"/>
    </row>
    <row r="4" spans="1:11" x14ac:dyDescent="0.25">
      <c r="A4" s="9">
        <v>44670</v>
      </c>
      <c r="B4" s="10" t="s">
        <v>9</v>
      </c>
      <c r="C4" s="6" t="s">
        <v>16</v>
      </c>
      <c r="D4" s="10" t="s">
        <v>10</v>
      </c>
      <c r="E4" s="34">
        <v>135</v>
      </c>
      <c r="F4" s="7">
        <v>30</v>
      </c>
      <c r="G4" s="8">
        <f t="shared" si="0"/>
        <v>4050</v>
      </c>
      <c r="J4" s="31"/>
      <c r="K4" s="31"/>
    </row>
    <row r="5" spans="1:11" x14ac:dyDescent="0.25">
      <c r="A5" s="3">
        <v>44674</v>
      </c>
      <c r="B5" s="4" t="s">
        <v>7</v>
      </c>
      <c r="C5" s="6" t="s">
        <v>16</v>
      </c>
      <c r="D5" s="4" t="s">
        <v>10</v>
      </c>
      <c r="E5" s="34">
        <v>23</v>
      </c>
      <c r="F5" s="7">
        <v>450</v>
      </c>
      <c r="G5" s="8">
        <f t="shared" si="0"/>
        <v>10350</v>
      </c>
    </row>
    <row r="6" spans="1:11" x14ac:dyDescent="0.25">
      <c r="A6" s="11">
        <v>44583</v>
      </c>
      <c r="B6" s="10" t="s">
        <v>7</v>
      </c>
      <c r="C6" s="6" t="s">
        <v>16</v>
      </c>
      <c r="D6" s="4" t="s">
        <v>10</v>
      </c>
      <c r="E6" s="34" t="s">
        <v>27</v>
      </c>
      <c r="F6" s="7">
        <v>250</v>
      </c>
      <c r="G6" s="8" t="e">
        <f t="shared" si="0"/>
        <v>#VALUE!</v>
      </c>
    </row>
    <row r="7" spans="1:11" x14ac:dyDescent="0.25">
      <c r="A7" s="9">
        <v>44730</v>
      </c>
      <c r="B7" s="10" t="s">
        <v>7</v>
      </c>
      <c r="C7" s="6" t="s">
        <v>16</v>
      </c>
      <c r="D7" s="10" t="s">
        <v>11</v>
      </c>
      <c r="E7" s="34">
        <v>114</v>
      </c>
      <c r="F7" s="7">
        <v>50</v>
      </c>
      <c r="G7" s="8">
        <f t="shared" si="0"/>
        <v>5700</v>
      </c>
    </row>
    <row r="8" spans="1:11" x14ac:dyDescent="0.25">
      <c r="A8" s="9">
        <v>44642</v>
      </c>
      <c r="B8" s="10" t="s">
        <v>9</v>
      </c>
      <c r="C8" s="6" t="s">
        <v>16</v>
      </c>
      <c r="D8" s="10" t="s">
        <v>12</v>
      </c>
      <c r="E8" s="34">
        <v>126</v>
      </c>
      <c r="F8" s="7">
        <v>75</v>
      </c>
      <c r="G8" s="8">
        <f t="shared" si="0"/>
        <v>9450</v>
      </c>
    </row>
    <row r="9" spans="1:11" x14ac:dyDescent="0.25">
      <c r="A9" s="9">
        <v>44698</v>
      </c>
      <c r="B9" s="10" t="s">
        <v>14</v>
      </c>
      <c r="C9" s="5" t="s">
        <v>16</v>
      </c>
      <c r="D9" s="4" t="s">
        <v>13</v>
      </c>
      <c r="E9" s="34">
        <v>6</v>
      </c>
      <c r="F9" s="7">
        <v>75</v>
      </c>
      <c r="G9" s="8">
        <f t="shared" si="0"/>
        <v>450</v>
      </c>
    </row>
    <row r="10" spans="1:11" x14ac:dyDescent="0.25">
      <c r="A10" s="9">
        <v>44718</v>
      </c>
      <c r="B10" s="10" t="s">
        <v>7</v>
      </c>
      <c r="C10" s="5" t="s">
        <v>6</v>
      </c>
      <c r="D10" s="10" t="s">
        <v>11</v>
      </c>
      <c r="E10" s="34">
        <v>139</v>
      </c>
      <c r="F10" s="7">
        <v>50</v>
      </c>
      <c r="G10" s="8">
        <f t="shared" si="0"/>
        <v>6950</v>
      </c>
    </row>
    <row r="11" spans="1:11" x14ac:dyDescent="0.25">
      <c r="A11" s="9">
        <v>44635</v>
      </c>
      <c r="B11" s="10" t="s">
        <v>7</v>
      </c>
      <c r="C11" s="5" t="s">
        <v>6</v>
      </c>
      <c r="D11" s="4" t="s">
        <v>11</v>
      </c>
      <c r="E11" s="34">
        <v>87</v>
      </c>
      <c r="F11" s="7">
        <v>75</v>
      </c>
      <c r="G11" s="8">
        <f t="shared" si="0"/>
        <v>6525</v>
      </c>
    </row>
    <row r="12" spans="1:11" x14ac:dyDescent="0.25">
      <c r="A12" s="9">
        <v>44742</v>
      </c>
      <c r="B12" s="10" t="s">
        <v>7</v>
      </c>
      <c r="C12" s="5" t="s">
        <v>6</v>
      </c>
      <c r="D12" s="4" t="s">
        <v>11</v>
      </c>
      <c r="E12" s="34">
        <v>33</v>
      </c>
      <c r="F12" s="7">
        <v>250</v>
      </c>
      <c r="G12" s="8">
        <f t="shared" si="0"/>
        <v>8250</v>
      </c>
    </row>
    <row r="13" spans="1:11" x14ac:dyDescent="0.25">
      <c r="A13" s="9">
        <v>44743</v>
      </c>
      <c r="B13" s="4" t="s">
        <v>7</v>
      </c>
      <c r="C13" s="5" t="s">
        <v>6</v>
      </c>
      <c r="D13" s="4" t="s">
        <v>8</v>
      </c>
      <c r="E13" s="34">
        <v>12</v>
      </c>
      <c r="F13" s="7">
        <v>450</v>
      </c>
      <c r="G13" s="8">
        <f t="shared" si="0"/>
        <v>5400</v>
      </c>
    </row>
    <row r="14" spans="1:11" x14ac:dyDescent="0.25">
      <c r="A14" s="9">
        <v>44744</v>
      </c>
      <c r="B14" s="10" t="s">
        <v>9</v>
      </c>
      <c r="C14" s="5" t="s">
        <v>6</v>
      </c>
      <c r="D14" s="10" t="s">
        <v>10</v>
      </c>
      <c r="E14" s="34">
        <v>140</v>
      </c>
      <c r="F14" s="7">
        <v>30</v>
      </c>
      <c r="G14" s="8">
        <f t="shared" si="0"/>
        <v>4200</v>
      </c>
    </row>
    <row r="15" spans="1:11" x14ac:dyDescent="0.25">
      <c r="A15" s="9">
        <v>44745</v>
      </c>
      <c r="B15" s="4" t="s">
        <v>7</v>
      </c>
      <c r="C15" s="5" t="s">
        <v>6</v>
      </c>
      <c r="D15" s="4" t="s">
        <v>10</v>
      </c>
      <c r="E15" s="34">
        <v>28</v>
      </c>
      <c r="F15" s="7">
        <v>450</v>
      </c>
      <c r="G15" s="8">
        <f t="shared" si="0"/>
        <v>12600</v>
      </c>
    </row>
    <row r="16" spans="1:11" x14ac:dyDescent="0.25">
      <c r="A16" s="9">
        <v>44746</v>
      </c>
      <c r="B16" s="10" t="s">
        <v>7</v>
      </c>
      <c r="C16" s="5" t="s">
        <v>6</v>
      </c>
      <c r="D16" s="4" t="s">
        <v>10</v>
      </c>
      <c r="E16" s="34">
        <v>67</v>
      </c>
      <c r="F16" s="7">
        <v>250</v>
      </c>
      <c r="G16" s="8">
        <f t="shared" si="0"/>
        <v>16750</v>
      </c>
    </row>
    <row r="17" spans="1:7" x14ac:dyDescent="0.25">
      <c r="A17" s="9">
        <v>44747</v>
      </c>
      <c r="B17" s="10" t="s">
        <v>7</v>
      </c>
      <c r="C17" s="5" t="s">
        <v>6</v>
      </c>
      <c r="D17" s="10" t="s">
        <v>11</v>
      </c>
      <c r="E17" s="34">
        <v>119</v>
      </c>
      <c r="F17" s="7">
        <v>50</v>
      </c>
      <c r="G17" s="8">
        <f t="shared" si="0"/>
        <v>5950</v>
      </c>
    </row>
    <row r="18" spans="1:7" x14ac:dyDescent="0.25">
      <c r="A18" s="9">
        <v>44748</v>
      </c>
      <c r="B18" s="10" t="s">
        <v>9</v>
      </c>
      <c r="C18" s="5" t="s">
        <v>6</v>
      </c>
      <c r="D18" s="10" t="s">
        <v>12</v>
      </c>
      <c r="E18" s="34">
        <v>131</v>
      </c>
      <c r="F18" s="7">
        <v>75</v>
      </c>
      <c r="G18" s="8">
        <f t="shared" si="0"/>
        <v>9825</v>
      </c>
    </row>
    <row r="19" spans="1:7" x14ac:dyDescent="0.25">
      <c r="A19" s="9">
        <v>44757</v>
      </c>
      <c r="B19" s="10" t="s">
        <v>7</v>
      </c>
      <c r="C19" s="5" t="s">
        <v>6</v>
      </c>
      <c r="D19" s="10" t="s">
        <v>11</v>
      </c>
      <c r="E19" s="34">
        <v>144</v>
      </c>
      <c r="F19" s="7">
        <v>50</v>
      </c>
      <c r="G19" s="8">
        <f t="shared" si="0"/>
        <v>7200</v>
      </c>
    </row>
    <row r="20" spans="1:7" x14ac:dyDescent="0.25">
      <c r="A20" s="9">
        <v>44758</v>
      </c>
      <c r="B20" s="10" t="s">
        <v>7</v>
      </c>
      <c r="C20" s="5" t="s">
        <v>6</v>
      </c>
      <c r="D20" s="4" t="s">
        <v>11</v>
      </c>
      <c r="E20" s="34">
        <v>92</v>
      </c>
      <c r="F20" s="7">
        <v>75</v>
      </c>
      <c r="G20" s="8">
        <f t="shared" si="0"/>
        <v>6900</v>
      </c>
    </row>
    <row r="21" spans="1:7" x14ac:dyDescent="0.25">
      <c r="A21" s="9">
        <v>44759</v>
      </c>
      <c r="B21" s="10" t="s">
        <v>7</v>
      </c>
      <c r="C21" s="5" t="s">
        <v>6</v>
      </c>
      <c r="D21" s="4" t="s">
        <v>11</v>
      </c>
      <c r="E21" s="34">
        <v>38</v>
      </c>
      <c r="F21" s="7">
        <v>250</v>
      </c>
      <c r="G21" s="8">
        <f t="shared" si="0"/>
        <v>9500</v>
      </c>
    </row>
    <row r="22" spans="1:7" x14ac:dyDescent="0.25">
      <c r="A22" s="3">
        <v>44650</v>
      </c>
      <c r="B22" s="4" t="s">
        <v>9</v>
      </c>
      <c r="C22" s="5" t="s">
        <v>19</v>
      </c>
      <c r="D22" s="4" t="s">
        <v>12</v>
      </c>
      <c r="E22" s="34">
        <v>215</v>
      </c>
      <c r="F22" s="7">
        <v>25</v>
      </c>
      <c r="G22" s="8">
        <f t="shared" si="0"/>
        <v>5375</v>
      </c>
    </row>
    <row r="23" spans="1:7" x14ac:dyDescent="0.25">
      <c r="A23" s="9">
        <v>44718</v>
      </c>
      <c r="B23" s="10" t="s">
        <v>7</v>
      </c>
      <c r="C23" s="5" t="s">
        <v>19</v>
      </c>
      <c r="D23" s="4" t="s">
        <v>12</v>
      </c>
      <c r="E23" s="34">
        <v>152</v>
      </c>
      <c r="F23" s="7">
        <v>50</v>
      </c>
      <c r="G23" s="8">
        <f t="shared" si="0"/>
        <v>7600</v>
      </c>
    </row>
    <row r="24" spans="1:7" x14ac:dyDescent="0.25">
      <c r="A24" s="9">
        <v>44702</v>
      </c>
      <c r="B24" s="10" t="s">
        <v>9</v>
      </c>
      <c r="C24" s="5" t="s">
        <v>19</v>
      </c>
      <c r="D24" s="4" t="s">
        <v>13</v>
      </c>
      <c r="E24" s="34">
        <v>70</v>
      </c>
      <c r="F24" s="7">
        <v>75</v>
      </c>
      <c r="G24" s="8">
        <f t="shared" si="0"/>
        <v>5250</v>
      </c>
    </row>
    <row r="25" spans="1:7" x14ac:dyDescent="0.25">
      <c r="A25" s="9">
        <v>44654</v>
      </c>
      <c r="B25" s="10" t="s">
        <v>7</v>
      </c>
      <c r="C25" s="5" t="s">
        <v>19</v>
      </c>
      <c r="D25" s="4" t="s">
        <v>13</v>
      </c>
      <c r="E25" s="34">
        <v>261</v>
      </c>
      <c r="F25" s="7">
        <v>30</v>
      </c>
      <c r="G25" s="8">
        <f t="shared" si="0"/>
        <v>7830</v>
      </c>
    </row>
    <row r="26" spans="1:7" x14ac:dyDescent="0.25">
      <c r="A26" s="11">
        <v>44577</v>
      </c>
      <c r="B26" s="10" t="s">
        <v>7</v>
      </c>
      <c r="C26" s="5" t="s">
        <v>19</v>
      </c>
      <c r="D26" s="4" t="s">
        <v>13</v>
      </c>
      <c r="E26" s="34">
        <v>99</v>
      </c>
      <c r="F26" s="7">
        <v>50</v>
      </c>
      <c r="G26" s="8">
        <f t="shared" si="0"/>
        <v>4950</v>
      </c>
    </row>
    <row r="27" spans="1:7" x14ac:dyDescent="0.25">
      <c r="A27" s="9">
        <v>44702</v>
      </c>
      <c r="B27" s="10" t="s">
        <v>9</v>
      </c>
      <c r="C27" s="5" t="s">
        <v>19</v>
      </c>
      <c r="D27" s="4" t="s">
        <v>13</v>
      </c>
      <c r="E27" s="34">
        <v>95</v>
      </c>
      <c r="F27" s="7">
        <v>75</v>
      </c>
      <c r="G27" s="8">
        <f t="shared" si="0"/>
        <v>7125</v>
      </c>
    </row>
    <row r="28" spans="1:7" x14ac:dyDescent="0.25">
      <c r="A28" s="9">
        <v>44658</v>
      </c>
      <c r="B28" s="10" t="s">
        <v>9</v>
      </c>
      <c r="C28" s="5" t="s">
        <v>19</v>
      </c>
      <c r="D28" s="10" t="s">
        <v>10</v>
      </c>
      <c r="E28" s="34">
        <v>240</v>
      </c>
      <c r="F28" s="7">
        <v>30</v>
      </c>
      <c r="G28" s="8">
        <f t="shared" si="0"/>
        <v>7200</v>
      </c>
    </row>
    <row r="29" spans="1:7" x14ac:dyDescent="0.25">
      <c r="A29" s="9">
        <v>44752</v>
      </c>
      <c r="B29" s="10" t="s">
        <v>7</v>
      </c>
      <c r="C29" s="5" t="s">
        <v>19</v>
      </c>
      <c r="D29" s="4" t="s">
        <v>13</v>
      </c>
      <c r="E29" s="34">
        <v>266</v>
      </c>
      <c r="F29" s="7">
        <v>30</v>
      </c>
      <c r="G29" s="8">
        <f t="shared" si="0"/>
        <v>7980</v>
      </c>
    </row>
    <row r="30" spans="1:7" x14ac:dyDescent="0.25">
      <c r="A30" s="9">
        <v>44753</v>
      </c>
      <c r="B30" s="10" t="s">
        <v>7</v>
      </c>
      <c r="C30" s="5" t="s">
        <v>19</v>
      </c>
      <c r="D30" s="4" t="s">
        <v>13</v>
      </c>
      <c r="E30" s="34">
        <v>104</v>
      </c>
      <c r="F30" s="7">
        <v>50</v>
      </c>
      <c r="G30" s="8">
        <f t="shared" si="0"/>
        <v>5200</v>
      </c>
    </row>
    <row r="31" spans="1:7" x14ac:dyDescent="0.25">
      <c r="A31" s="9">
        <v>44754</v>
      </c>
      <c r="B31" s="10" t="s">
        <v>9</v>
      </c>
      <c r="C31" s="5" t="s">
        <v>19</v>
      </c>
      <c r="D31" s="4" t="s">
        <v>13</v>
      </c>
      <c r="E31" s="34">
        <v>100</v>
      </c>
      <c r="F31" s="7">
        <v>75</v>
      </c>
      <c r="G31" s="8">
        <f t="shared" si="0"/>
        <v>7500</v>
      </c>
    </row>
    <row r="32" spans="1:7" x14ac:dyDescent="0.25">
      <c r="A32" s="9">
        <v>44755</v>
      </c>
      <c r="B32" s="10" t="s">
        <v>9</v>
      </c>
      <c r="C32" s="5" t="s">
        <v>19</v>
      </c>
      <c r="D32" s="10" t="s">
        <v>10</v>
      </c>
      <c r="E32" s="34">
        <v>245</v>
      </c>
      <c r="F32" s="7">
        <v>30</v>
      </c>
      <c r="G32" s="8">
        <f t="shared" si="0"/>
        <v>7350</v>
      </c>
    </row>
    <row r="33" spans="1:7" x14ac:dyDescent="0.25">
      <c r="A33" s="9">
        <v>44756</v>
      </c>
      <c r="B33" s="10" t="s">
        <v>14</v>
      </c>
      <c r="C33" s="5" t="s">
        <v>19</v>
      </c>
      <c r="D33" s="4" t="s">
        <v>13</v>
      </c>
      <c r="E33" s="34">
        <v>126</v>
      </c>
      <c r="F33" s="7">
        <v>75</v>
      </c>
      <c r="G33" s="8">
        <f t="shared" si="0"/>
        <v>9450</v>
      </c>
    </row>
    <row r="34" spans="1:7" x14ac:dyDescent="0.25">
      <c r="A34" s="9">
        <v>44749</v>
      </c>
      <c r="B34" s="4" t="s">
        <v>9</v>
      </c>
      <c r="C34" s="6" t="s">
        <v>18</v>
      </c>
      <c r="D34" s="4" t="s">
        <v>12</v>
      </c>
      <c r="E34" s="34">
        <v>220</v>
      </c>
      <c r="F34" s="7">
        <v>25</v>
      </c>
      <c r="G34" s="8">
        <f t="shared" si="0"/>
        <v>5500</v>
      </c>
    </row>
    <row r="35" spans="1:7" x14ac:dyDescent="0.25">
      <c r="A35" s="9">
        <v>44750</v>
      </c>
      <c r="B35" s="10" t="s">
        <v>7</v>
      </c>
      <c r="C35" s="5" t="s">
        <v>18</v>
      </c>
      <c r="D35" s="4" t="s">
        <v>12</v>
      </c>
      <c r="E35" s="34">
        <v>157</v>
      </c>
      <c r="F35" s="7">
        <v>50</v>
      </c>
      <c r="G35" s="8">
        <f t="shared" si="0"/>
        <v>7850</v>
      </c>
    </row>
    <row r="36" spans="1:7" x14ac:dyDescent="0.25">
      <c r="A36" s="9">
        <v>44751</v>
      </c>
      <c r="B36" s="10" t="s">
        <v>9</v>
      </c>
      <c r="C36" s="5" t="s">
        <v>18</v>
      </c>
      <c r="D36" s="4" t="s">
        <v>13</v>
      </c>
      <c r="E36" s="34">
        <v>75</v>
      </c>
      <c r="F36" s="7">
        <v>75</v>
      </c>
      <c r="G36" s="8">
        <f t="shared" si="0"/>
        <v>5625</v>
      </c>
    </row>
  </sheetData>
  <autoFilter ref="A2:G36" xr:uid="{7A0B0905-5ED6-4005-95B6-6A880B61AADF}"/>
  <pageMargins left="0.25" right="0.25" top="0.75" bottom="0.75" header="0.3" footer="0.3"/>
  <pageSetup paperSize="9" scale="58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7F400F4-8D50-42A4-9AC8-B13686F59DA4}">
          <x14:formula1>
            <xm:f>Ayarlar!$D$2:$D$4</xm:f>
          </x14:formula1>
          <xm:sqref>B14:B25 B11:B12 B3:B8 B31:B36 B28:B29</xm:sqref>
        </x14:dataValidation>
        <x14:dataValidation type="list" allowBlank="1" showInputMessage="1" showErrorMessage="1" xr:uid="{DB67C202-CFB0-433B-8A57-D4EB51A557F2}">
          <x14:formula1>
            <xm:f>Ayarlar!$B$2:$B$6</xm:f>
          </x14:formula1>
          <xm:sqref>C3:C26 C29:C35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C080-FDFB-427E-8C46-FAE5C3BD88F3}">
  <dimension ref="B1:H6"/>
  <sheetViews>
    <sheetView showGridLines="0" zoomScale="130" zoomScaleNormal="130" workbookViewId="0">
      <selection activeCell="C8" sqref="C8"/>
    </sheetView>
  </sheetViews>
  <sheetFormatPr defaultRowHeight="15" x14ac:dyDescent="0.25"/>
  <cols>
    <col min="4" max="4" width="16.5703125" bestFit="1" customWidth="1"/>
    <col min="6" max="6" width="11.5703125" bestFit="1" customWidth="1"/>
    <col min="8" max="8" width="10.85546875" bestFit="1" customWidth="1"/>
  </cols>
  <sheetData>
    <row r="1" spans="2:8" ht="15.75" x14ac:dyDescent="0.25">
      <c r="B1" s="19" t="s">
        <v>20</v>
      </c>
      <c r="D1" s="1" t="s">
        <v>1</v>
      </c>
      <c r="F1" s="1" t="s">
        <v>21</v>
      </c>
      <c r="H1" s="1" t="s">
        <v>22</v>
      </c>
    </row>
    <row r="2" spans="2:8" x14ac:dyDescent="0.25">
      <c r="B2" s="5" t="s">
        <v>16</v>
      </c>
      <c r="D2" s="4" t="s">
        <v>7</v>
      </c>
      <c r="F2" s="20">
        <v>7.45</v>
      </c>
      <c r="H2" s="6">
        <v>8.66</v>
      </c>
    </row>
    <row r="3" spans="2:8" x14ac:dyDescent="0.25">
      <c r="B3" s="6" t="s">
        <v>17</v>
      </c>
      <c r="D3" s="10" t="s">
        <v>14</v>
      </c>
    </row>
    <row r="4" spans="2:8" x14ac:dyDescent="0.25">
      <c r="B4" s="5" t="s">
        <v>6</v>
      </c>
      <c r="D4" s="10" t="s">
        <v>9</v>
      </c>
    </row>
    <row r="5" spans="2:8" x14ac:dyDescent="0.25">
      <c r="B5" s="5" t="s">
        <v>19</v>
      </c>
    </row>
    <row r="6" spans="2:8" x14ac:dyDescent="0.25">
      <c r="B6" s="5" t="s">
        <v>18</v>
      </c>
    </row>
  </sheetData>
  <sortState xmlns:xlrd2="http://schemas.microsoft.com/office/spreadsheetml/2017/richdata2" ref="D2:D18">
    <sortCondition ref="D1:D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5</vt:i4>
      </vt:variant>
      <vt:variant>
        <vt:lpstr>Adlandırılmış Aralıklar</vt:lpstr>
      </vt:variant>
      <vt:variant>
        <vt:i4>3</vt:i4>
      </vt:variant>
    </vt:vector>
  </HeadingPairs>
  <TitlesOfParts>
    <vt:vector size="8" baseType="lpstr">
      <vt:lpstr>Sayfa1</vt:lpstr>
      <vt:lpstr>Sayfa2</vt:lpstr>
      <vt:lpstr>Sayfa3</vt:lpstr>
      <vt:lpstr>Sayfa4</vt:lpstr>
      <vt:lpstr>Ayarlar</vt:lpstr>
      <vt:lpstr>D_Kuru</vt:lpstr>
      <vt:lpstr>E_Kuru</vt:lpstr>
      <vt:lpstr>Şehirler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2021-03-28T15:11:18Z</dcterms:created>
  <dcterms:modified xsi:type="dcterms:W3CDTF">2021-04-13T18:44:08Z</dcterms:modified>
</cp:coreProperties>
</file>