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A6E25A52-393E-41B9-B546-4C4215BF34C6}" xr6:coauthVersionLast="46" xr6:coauthVersionMax="46" xr10:uidLastSave="{00000000-0000-0000-0000-000000000000}"/>
  <bookViews>
    <workbookView xWindow="-120" yWindow="-120" windowWidth="24240" windowHeight="13140" xr2:uid="{128882A4-6AAC-4674-BC8E-4F08DF164133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 a="1"/>
  <c r="H7" i="2" s="1"/>
  <c r="C4" i="2"/>
  <c r="D4" i="2"/>
  <c r="E4" i="2"/>
  <c r="F4" i="2"/>
  <c r="B4" i="2"/>
  <c r="K14" i="1" a="1"/>
  <c r="K14" i="1" s="1"/>
  <c r="H14" i="1" a="1"/>
  <c r="H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<sst xmlns="http://schemas.openxmlformats.org/spreadsheetml/2006/main" count="41" uniqueCount="21">
  <si>
    <t>Ürün</t>
  </si>
  <si>
    <t>Renk</t>
  </si>
  <si>
    <t>Adet</t>
  </si>
  <si>
    <t>Satış Fiyat</t>
  </si>
  <si>
    <t>A Ürün</t>
  </si>
  <si>
    <t>Kırmızı</t>
  </si>
  <si>
    <t>B Ürün</t>
  </si>
  <si>
    <t>C Ürün</t>
  </si>
  <si>
    <t>Siyah</t>
  </si>
  <si>
    <t>Mavi</t>
  </si>
  <si>
    <t>Beyaz</t>
  </si>
  <si>
    <t>Tarih</t>
  </si>
  <si>
    <t>Şubeler</t>
  </si>
  <si>
    <t>Gelir</t>
  </si>
  <si>
    <t>Gider</t>
  </si>
  <si>
    <t>Kar</t>
  </si>
  <si>
    <t>Samsun</t>
  </si>
  <si>
    <t>Adana</t>
  </si>
  <si>
    <t>İstanbul</t>
  </si>
  <si>
    <t>Bursa</t>
  </si>
  <si>
    <t>Konya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</si>
</sst>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5" formatCode="_-* #,##0\ &quot;TL&quot;_-;\-* #,##0\ &quot;TL&quot;_-;_-* &quot;-&quot;??\ &quot;TL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4" fontId="2" fillId="0" borderId="1" xfId="1" applyNumberFormat="1" applyFont="1" applyFill="1" applyBorder="1" applyAlignment="1">
      <alignment horizontal="right"/>
    </xf>
    <xf numFmtId="165" fontId="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1" xfId="0" applyBorder="1"/>
    <xf numFmtId="0" fontId="2" fillId="3" borderId="1" xfId="0" applyFont="1" applyFill="1" applyBorder="1"/>
    <xf numFmtId="3" fontId="0" fillId="0" borderId="1" xfId="0" applyNumberFormat="1" applyBorder="1"/>
    <xf numFmtId="3" fontId="2" fillId="4" borderId="1" xfId="0" applyNumberFormat="1" applyFont="1" applyFill="1" applyBorder="1"/>
    <xf numFmtId="0" fontId="2" fillId="4" borderId="1" xfId="0" applyFont="1" applyFill="1" applyBorder="1"/>
    <xf numFmtId="0" fontId="2" fillId="0" borderId="0" xfId="0" applyFon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69DF-F295-4FB1-A022-77A7FACF864F}">
  <dimension ref="A1:O23"/>
  <sheetViews>
    <sheetView showGridLines="0" tabSelected="1" workbookViewId="0">
      <selection activeCell="A15" sqref="A15"/>
    </sheetView>
  </sheetViews>
  <sheetFormatPr defaultRowHeight="15" x14ac:dyDescent="0.25"/>
  <cols>
    <col min="1" max="4" width="11.5703125" customWidth="1"/>
    <col min="5" max="5" width="12.28515625" customWidth="1"/>
    <col min="11" max="14" width="11.5703125" customWidth="1"/>
    <col min="15" max="15" width="12.28515625" customWidth="1"/>
  </cols>
  <sheetData>
    <row r="1" spans="1:15" ht="15.75" x14ac:dyDescent="0.25">
      <c r="A1" s="1" t="s">
        <v>0</v>
      </c>
      <c r="B1" s="1" t="s">
        <v>1</v>
      </c>
      <c r="C1" s="1" t="s">
        <v>11</v>
      </c>
      <c r="D1" s="2" t="s">
        <v>2</v>
      </c>
      <c r="E1" s="3" t="s">
        <v>3</v>
      </c>
    </row>
    <row r="2" spans="1:15" x14ac:dyDescent="0.25">
      <c r="A2" s="7" t="s">
        <v>4</v>
      </c>
      <c r="B2" s="4" t="s">
        <v>5</v>
      </c>
      <c r="C2" s="8">
        <v>44291</v>
      </c>
      <c r="D2" s="5">
        <v>15</v>
      </c>
      <c r="E2" s="6">
        <v>150</v>
      </c>
    </row>
    <row r="3" spans="1:15" x14ac:dyDescent="0.25">
      <c r="A3" s="7" t="s">
        <v>6</v>
      </c>
      <c r="B3" s="4" t="s">
        <v>5</v>
      </c>
      <c r="C3" s="8">
        <v>44298</v>
      </c>
      <c r="D3" s="5">
        <v>4</v>
      </c>
      <c r="E3" s="6">
        <v>190</v>
      </c>
    </row>
    <row r="4" spans="1:15" x14ac:dyDescent="0.25">
      <c r="A4" s="7" t="s">
        <v>4</v>
      </c>
      <c r="B4" s="4" t="s">
        <v>5</v>
      </c>
      <c r="C4" s="8">
        <v>44292</v>
      </c>
      <c r="D4" s="5">
        <v>10</v>
      </c>
      <c r="E4" s="6">
        <v>50</v>
      </c>
    </row>
    <row r="5" spans="1:15" x14ac:dyDescent="0.25">
      <c r="A5" s="7" t="s">
        <v>7</v>
      </c>
      <c r="B5" s="4" t="s">
        <v>9</v>
      </c>
      <c r="C5" s="8">
        <v>44294</v>
      </c>
      <c r="D5" s="5">
        <v>2</v>
      </c>
      <c r="E5" s="6">
        <v>100</v>
      </c>
    </row>
    <row r="6" spans="1:15" x14ac:dyDescent="0.25">
      <c r="A6" s="7" t="s">
        <v>4</v>
      </c>
      <c r="B6" s="4" t="s">
        <v>8</v>
      </c>
      <c r="C6" s="8">
        <v>44300</v>
      </c>
      <c r="D6" s="5">
        <v>45</v>
      </c>
      <c r="E6" s="6">
        <v>130</v>
      </c>
    </row>
    <row r="7" spans="1:15" x14ac:dyDescent="0.25">
      <c r="A7" s="7" t="s">
        <v>4</v>
      </c>
      <c r="B7" s="4" t="s">
        <v>9</v>
      </c>
      <c r="C7" s="8">
        <v>44293</v>
      </c>
      <c r="D7" s="5">
        <v>20</v>
      </c>
      <c r="E7" s="6">
        <v>170</v>
      </c>
    </row>
    <row r="8" spans="1:15" x14ac:dyDescent="0.25">
      <c r="A8" s="7" t="s">
        <v>7</v>
      </c>
      <c r="B8" s="4" t="s">
        <v>9</v>
      </c>
      <c r="C8" s="8">
        <v>44296</v>
      </c>
      <c r="D8" s="5">
        <v>6</v>
      </c>
      <c r="E8" s="6">
        <v>60</v>
      </c>
    </row>
    <row r="9" spans="1:15" x14ac:dyDescent="0.25">
      <c r="A9" s="7" t="s">
        <v>4</v>
      </c>
      <c r="B9" s="4" t="s">
        <v>9</v>
      </c>
      <c r="C9" s="8">
        <v>44297</v>
      </c>
      <c r="D9" s="5">
        <v>23</v>
      </c>
      <c r="E9" s="6">
        <v>180</v>
      </c>
    </row>
    <row r="10" spans="1:15" x14ac:dyDescent="0.25">
      <c r="A10" s="7" t="s">
        <v>6</v>
      </c>
      <c r="B10" s="4" t="s">
        <v>5</v>
      </c>
      <c r="C10" s="8">
        <v>44295</v>
      </c>
      <c r="D10" s="5">
        <v>40</v>
      </c>
      <c r="E10" s="6">
        <v>210</v>
      </c>
    </row>
    <row r="11" spans="1:15" x14ac:dyDescent="0.25">
      <c r="A11" s="7" t="s">
        <v>6</v>
      </c>
      <c r="B11" s="4" t="s">
        <v>10</v>
      </c>
      <c r="C11" s="8">
        <v>44299</v>
      </c>
      <c r="D11" s="5">
        <v>20</v>
      </c>
      <c r="E11" s="6">
        <v>210</v>
      </c>
    </row>
    <row r="13" spans="1:15" ht="15.75" x14ac:dyDescent="0.25">
      <c r="H13" s="1" t="s">
        <v>0</v>
      </c>
      <c r="I13" s="1" t="s">
        <v>1</v>
      </c>
      <c r="K13" s="1" t="s">
        <v>0</v>
      </c>
      <c r="L13" s="1" t="s">
        <v>1</v>
      </c>
      <c r="M13" s="1" t="s">
        <v>11</v>
      </c>
      <c r="N13" s="2" t="s">
        <v>2</v>
      </c>
      <c r="O13" s="3" t="s">
        <v>3</v>
      </c>
    </row>
    <row r="14" spans="1:15" x14ac:dyDescent="0.25">
      <c r="H14" t="str" cm="1">
        <f t="array" ref="H14:I23">_xlfn._xlws.SORT(A2:B11)</f>
        <v>A Ürün</v>
      </c>
      <c r="I14" t="str">
        <v>Kırmızı</v>
      </c>
      <c r="K14" t="str" cm="1">
        <f t="array" ref="K14:O23">_xlfn._xlws.SORT(A2:E11,3,-1)</f>
        <v>A Ürün</v>
      </c>
      <c r="L14" t="str">
        <v>Siyah</v>
      </c>
      <c r="M14" s="9">
        <v>44300</v>
      </c>
      <c r="N14">
        <v>45</v>
      </c>
      <c r="O14">
        <v>130</v>
      </c>
    </row>
    <row r="15" spans="1:15" x14ac:dyDescent="0.25">
      <c r="H15" t="str">
        <v>A Ürün</v>
      </c>
      <c r="I15" t="str">
        <v>Kırmızı</v>
      </c>
      <c r="K15" t="str">
        <v>B Ürün</v>
      </c>
      <c r="L15" t="str">
        <v>Beyaz</v>
      </c>
      <c r="M15" s="9">
        <v>44299</v>
      </c>
      <c r="N15">
        <v>20</v>
      </c>
      <c r="O15">
        <v>210</v>
      </c>
    </row>
    <row r="16" spans="1:15" x14ac:dyDescent="0.25">
      <c r="H16" t="str">
        <v>A Ürün</v>
      </c>
      <c r="I16" t="str">
        <v>Siyah</v>
      </c>
      <c r="K16" t="str">
        <v>B Ürün</v>
      </c>
      <c r="L16" t="str">
        <v>Kırmızı</v>
      </c>
      <c r="M16" s="9">
        <v>44298</v>
      </c>
      <c r="N16">
        <v>4</v>
      </c>
      <c r="O16">
        <v>190</v>
      </c>
    </row>
    <row r="17" spans="8:15" x14ac:dyDescent="0.25">
      <c r="H17" t="str">
        <v>A Ürün</v>
      </c>
      <c r="I17" t="str">
        <v>Mavi</v>
      </c>
      <c r="K17" t="str">
        <v>A Ürün</v>
      </c>
      <c r="L17" t="str">
        <v>Mavi</v>
      </c>
      <c r="M17" s="9">
        <v>44297</v>
      </c>
      <c r="N17">
        <v>23</v>
      </c>
      <c r="O17">
        <v>180</v>
      </c>
    </row>
    <row r="18" spans="8:15" x14ac:dyDescent="0.25">
      <c r="H18" t="str">
        <v>A Ürün</v>
      </c>
      <c r="I18" t="str">
        <v>Mavi</v>
      </c>
      <c r="K18" t="str">
        <v>C Ürün</v>
      </c>
      <c r="L18" t="str">
        <v>Mavi</v>
      </c>
      <c r="M18" s="9">
        <v>44296</v>
      </c>
      <c r="N18">
        <v>6</v>
      </c>
      <c r="O18">
        <v>60</v>
      </c>
    </row>
    <row r="19" spans="8:15" x14ac:dyDescent="0.25">
      <c r="H19" t="str">
        <v>B Ürün</v>
      </c>
      <c r="I19" t="str">
        <v>Kırmızı</v>
      </c>
      <c r="K19" t="str">
        <v>B Ürün</v>
      </c>
      <c r="L19" t="str">
        <v>Kırmızı</v>
      </c>
      <c r="M19" s="9">
        <v>44295</v>
      </c>
      <c r="N19">
        <v>40</v>
      </c>
      <c r="O19">
        <v>210</v>
      </c>
    </row>
    <row r="20" spans="8:15" x14ac:dyDescent="0.25">
      <c r="H20" t="str">
        <v>B Ürün</v>
      </c>
      <c r="I20" t="str">
        <v>Kırmızı</v>
      </c>
      <c r="K20" t="str">
        <v>C Ürün</v>
      </c>
      <c r="L20" t="str">
        <v>Mavi</v>
      </c>
      <c r="M20" s="9">
        <v>44294</v>
      </c>
      <c r="N20">
        <v>2</v>
      </c>
      <c r="O20">
        <v>100</v>
      </c>
    </row>
    <row r="21" spans="8:15" x14ac:dyDescent="0.25">
      <c r="H21" t="str">
        <v>B Ürün</v>
      </c>
      <c r="I21" t="str">
        <v>Beyaz</v>
      </c>
      <c r="K21" t="str">
        <v>A Ürün</v>
      </c>
      <c r="L21" t="str">
        <v>Mavi</v>
      </c>
      <c r="M21" s="9">
        <v>44293</v>
      </c>
      <c r="N21">
        <v>20</v>
      </c>
      <c r="O21">
        <v>170</v>
      </c>
    </row>
    <row r="22" spans="8:15" x14ac:dyDescent="0.25">
      <c r="H22" t="str">
        <v>C Ürün</v>
      </c>
      <c r="I22" t="str">
        <v>Mavi</v>
      </c>
      <c r="K22" t="str">
        <v>A Ürün</v>
      </c>
      <c r="L22" t="str">
        <v>Kırmızı</v>
      </c>
      <c r="M22" s="9">
        <v>44292</v>
      </c>
      <c r="N22">
        <v>10</v>
      </c>
      <c r="O22">
        <v>50</v>
      </c>
    </row>
    <row r="23" spans="8:15" x14ac:dyDescent="0.25">
      <c r="H23" t="str">
        <v>C Ürün</v>
      </c>
      <c r="I23" t="str">
        <v>Mavi</v>
      </c>
      <c r="K23" t="str">
        <v>A Ürün</v>
      </c>
      <c r="L23" t="str">
        <v>Kırmızı</v>
      </c>
      <c r="M23" s="9">
        <v>44291</v>
      </c>
      <c r="N23">
        <v>15</v>
      </c>
      <c r="O23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D19E-5493-4D8A-98C0-DAEA6926330D}">
  <dimension ref="A1:M10"/>
  <sheetViews>
    <sheetView showGridLines="0" zoomScale="145" zoomScaleNormal="145" workbookViewId="0">
      <selection activeCell="J16" sqref="J16"/>
    </sheetView>
  </sheetViews>
  <sheetFormatPr defaultRowHeight="15" x14ac:dyDescent="0.25"/>
  <sheetData>
    <row r="1" spans="1:13" x14ac:dyDescent="0.25">
      <c r="A1" s="11" t="s">
        <v>12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</row>
    <row r="2" spans="1:13" x14ac:dyDescent="0.25">
      <c r="A2" s="10" t="s">
        <v>13</v>
      </c>
      <c r="B2" s="12">
        <v>1000</v>
      </c>
      <c r="C2" s="12">
        <v>1200</v>
      </c>
      <c r="D2" s="12">
        <v>4000</v>
      </c>
      <c r="E2" s="12">
        <v>3000</v>
      </c>
      <c r="F2" s="12">
        <v>2000</v>
      </c>
    </row>
    <row r="3" spans="1:13" x14ac:dyDescent="0.25">
      <c r="A3" s="10" t="s">
        <v>14</v>
      </c>
      <c r="B3" s="12">
        <v>350</v>
      </c>
      <c r="C3" s="12">
        <v>300</v>
      </c>
      <c r="D3" s="12">
        <v>800</v>
      </c>
      <c r="E3" s="12">
        <v>700</v>
      </c>
      <c r="F3" s="12">
        <v>600</v>
      </c>
    </row>
    <row r="4" spans="1:13" x14ac:dyDescent="0.25">
      <c r="A4" s="14" t="s">
        <v>15</v>
      </c>
      <c r="B4" s="13">
        <f>B2-B3</f>
        <v>650</v>
      </c>
      <c r="C4" s="13">
        <f t="shared" ref="C4:F4" si="0">C2-C3</f>
        <v>900</v>
      </c>
      <c r="D4" s="13">
        <f t="shared" si="0"/>
        <v>3200</v>
      </c>
      <c r="E4" s="13">
        <f t="shared" si="0"/>
        <v>2300</v>
      </c>
      <c r="F4" s="13">
        <f t="shared" si="0"/>
        <v>1400</v>
      </c>
    </row>
    <row r="7" spans="1:13" x14ac:dyDescent="0.25">
      <c r="H7" t="str" cm="1">
        <f t="array" ref="H7:M10">_xlfn._xlws.SORT(A1:F4,4,-1,1)</f>
        <v>Şubeler</v>
      </c>
      <c r="I7" t="str">
        <v>İstanbul</v>
      </c>
      <c r="J7" t="str">
        <v>Bursa</v>
      </c>
      <c r="K7" t="str">
        <v>Konya</v>
      </c>
      <c r="L7" t="str">
        <v>Adana</v>
      </c>
      <c r="M7" t="str">
        <v>Samsun</v>
      </c>
    </row>
    <row r="8" spans="1:13" x14ac:dyDescent="0.25">
      <c r="H8" t="str">
        <v>Gelir</v>
      </c>
      <c r="I8">
        <v>4000</v>
      </c>
      <c r="J8">
        <v>3000</v>
      </c>
      <c r="K8">
        <v>2000</v>
      </c>
      <c r="L8">
        <v>1200</v>
      </c>
      <c r="M8">
        <v>1000</v>
      </c>
    </row>
    <row r="9" spans="1:13" x14ac:dyDescent="0.25">
      <c r="H9" t="str">
        <v>Gider</v>
      </c>
      <c r="I9">
        <v>800</v>
      </c>
      <c r="J9">
        <v>700</v>
      </c>
      <c r="K9">
        <v>600</v>
      </c>
      <c r="L9">
        <v>300</v>
      </c>
      <c r="M9">
        <v>350</v>
      </c>
    </row>
    <row r="10" spans="1:13" x14ac:dyDescent="0.25">
      <c r="H10" s="15" t="str">
        <v>Kar</v>
      </c>
      <c r="I10" s="15">
        <v>3200</v>
      </c>
      <c r="J10" s="15">
        <v>2300</v>
      </c>
      <c r="K10" s="15">
        <v>1400</v>
      </c>
      <c r="L10" s="15">
        <v>900</v>
      </c>
      <c r="M10" s="15">
        <v>650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2021-04-04T19:53:08Z</dcterms:created>
  <dcterms:modified xsi:type="dcterms:W3CDTF">2021-04-05T12:00:12Z</dcterms:modified>
</cp:coreProperties>
</file>