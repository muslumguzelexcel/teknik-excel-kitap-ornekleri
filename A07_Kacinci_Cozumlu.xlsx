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8_{2A9850BA-30C8-426B-A8DC-7E48C179F667}" xr6:coauthVersionLast="46" xr6:coauthVersionMax="46" xr10:uidLastSave="{00000000-0000-0000-0000-000000000000}"/>
  <bookViews>
    <workbookView xWindow="-120" yWindow="-120" windowWidth="24240" windowHeight="13140" xr2:uid="{07F44A83-76F8-4274-8004-DF7187192BC1}"/>
  </bookViews>
  <sheets>
    <sheet name="Veriler" sheetId="1" r:id="rId1"/>
  </sheets>
  <definedNames>
    <definedName name="_xlnm._FilterDatabase" localSheetId="0" hidden="1">Veriler!$A$1:$G$18</definedName>
    <definedName name="D_Kuru">#REF!</definedName>
    <definedName name="E_Kuru">#REF!</definedName>
    <definedName name="Şehirle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K3" i="1" s="1"/>
  <c r="K4" i="1"/>
  <c r="H35" i="1" l="1"/>
  <c r="G35" i="1"/>
  <c r="H12" i="1"/>
  <c r="G12" i="1"/>
  <c r="H32" i="1"/>
  <c r="G32" i="1"/>
  <c r="H25" i="1"/>
  <c r="G25" i="1"/>
  <c r="H18" i="1"/>
  <c r="G18" i="1"/>
  <c r="H28" i="1"/>
  <c r="G28" i="1"/>
  <c r="H3" i="1"/>
  <c r="G3" i="1"/>
  <c r="H6" i="1"/>
  <c r="G6" i="1"/>
  <c r="H27" i="1"/>
  <c r="G27" i="1"/>
  <c r="H31" i="1"/>
  <c r="G31" i="1"/>
  <c r="H15" i="1"/>
  <c r="G15" i="1"/>
  <c r="H14" i="1"/>
  <c r="G14" i="1"/>
  <c r="H33" i="1"/>
  <c r="G33" i="1"/>
  <c r="H5" i="1"/>
  <c r="G5" i="1"/>
  <c r="H23" i="1"/>
  <c r="G23" i="1"/>
  <c r="H20" i="1"/>
  <c r="G20" i="1"/>
  <c r="H22" i="1"/>
  <c r="G22" i="1"/>
  <c r="H19" i="1"/>
  <c r="H21" i="1"/>
  <c r="H4" i="1"/>
  <c r="H8" i="1"/>
  <c r="H13" i="1"/>
  <c r="H9" i="1"/>
  <c r="H29" i="1"/>
  <c r="H26" i="1"/>
  <c r="H16" i="1"/>
  <c r="H2" i="1"/>
  <c r="H10" i="1"/>
  <c r="H17" i="1"/>
  <c r="H24" i="1"/>
  <c r="H30" i="1"/>
  <c r="H7" i="1"/>
  <c r="H34" i="1"/>
  <c r="H11" i="1"/>
  <c r="G19" i="1"/>
  <c r="G21" i="1"/>
  <c r="G4" i="1"/>
  <c r="G8" i="1"/>
  <c r="G13" i="1"/>
  <c r="G9" i="1"/>
  <c r="G29" i="1"/>
  <c r="G26" i="1"/>
  <c r="G16" i="1"/>
  <c r="G2" i="1"/>
  <c r="G10" i="1"/>
  <c r="G17" i="1"/>
  <c r="G24" i="1"/>
  <c r="G30" i="1"/>
  <c r="G7" i="1"/>
  <c r="G34" i="1"/>
  <c r="G11" i="1" l="1"/>
</calcChain>
</file>

<file path=xl/sharedStrings.xml><?xml version="1.0" encoding="utf-8"?>
<sst xmlns="http://schemas.openxmlformats.org/spreadsheetml/2006/main" count="127" uniqueCount="37">
  <si>
    <t>Tarih</t>
  </si>
  <si>
    <t>Temsilci</t>
  </si>
  <si>
    <t>Ürünler</t>
  </si>
  <si>
    <t>Adet</t>
  </si>
  <si>
    <t>Fiyat</t>
  </si>
  <si>
    <t>Tutar</t>
  </si>
  <si>
    <t>İstanbul</t>
  </si>
  <si>
    <t>Gamze ATAK</t>
  </si>
  <si>
    <t>Takım Elbise</t>
  </si>
  <si>
    <t>Mustafa YILDIRIM</t>
  </si>
  <si>
    <t>Çocuk Giysisi</t>
  </si>
  <si>
    <t>Bluz</t>
  </si>
  <si>
    <t>Gömlek</t>
  </si>
  <si>
    <t>Pantolon</t>
  </si>
  <si>
    <t>Hasan DAĞ</t>
  </si>
  <si>
    <t>Şehir</t>
  </si>
  <si>
    <t>Adana</t>
  </si>
  <si>
    <t>Ankara</t>
  </si>
  <si>
    <t>Şanlıurfa</t>
  </si>
  <si>
    <t>Mersin</t>
  </si>
  <si>
    <t>Ay</t>
  </si>
  <si>
    <t>Ay Seçiniz</t>
  </si>
  <si>
    <t>Toplam Tutar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</si>
  <si>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</si>
  <si>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</si>
  <si>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</si>
  <si>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</si>
  <si>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</si>
  <si>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</si>
  <si>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</si>
  <si>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</si>
  <si>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</si>
  <si>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</si>
  <si>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</si>
  <si>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</si>
  <si>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Toplam</t>
  </si>
  <si>
    <t>Diğer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</si>
</sst>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TL&quot;_-;\-* #,##0.00\ &quot;TL&quot;_-;_-* &quot;-&quot;??\ &quot;TL&quot;_-;_-@_-"/>
    <numFmt numFmtId="164" formatCode="_-* #,##0\ &quot;TL&quot;_-;\-* #,##0\ &quot;TL&quot;_-;_-* &quot;-&quot;??\ &quot;TL&quot;_-;_-@_-"/>
    <numFmt numFmtId="165" formatCode="_-* #,##0\ _T_L_-;\-* #,##0\ _T_L_-;_-* &quot;-&quot;??\ _T_L_-;_-@_-"/>
    <numFmt numFmtId="166" formatCode="_-* #,##0.00\ _₺_-;\-* #,##0.00\ _₺_-;_-* &quot;-&quot;??\ _₺_-;_-@_-"/>
  </numFmts>
  <fonts count="6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2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left"/>
    </xf>
    <xf numFmtId="164" fontId="0" fillId="0" borderId="1" xfId="2" applyNumberFormat="1" applyFont="1" applyFill="1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quotePrefix="1"/>
    <xf numFmtId="166" fontId="0" fillId="0" borderId="0" xfId="1" quotePrefix="1" applyFont="1"/>
    <xf numFmtId="166" fontId="0" fillId="0" borderId="0" xfId="1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2" applyNumberFormat="1" applyFont="1"/>
    <xf numFmtId="0" fontId="0" fillId="0" borderId="1" xfId="0" applyBorder="1"/>
    <xf numFmtId="0" fontId="5" fillId="3" borderId="1" xfId="0" applyFont="1" applyFill="1" applyBorder="1" applyAlignment="1">
      <alignment vertical="center"/>
    </xf>
    <xf numFmtId="164" fontId="5" fillId="0" borderId="1" xfId="2" applyNumberFormat="1" applyFont="1" applyBorder="1"/>
    <xf numFmtId="0" fontId="5" fillId="0" borderId="1" xfId="0" applyFont="1" applyBorder="1"/>
    <xf numFmtId="164" fontId="5" fillId="0" borderId="1" xfId="0" applyNumberFormat="1" applyFont="1" applyBorder="1"/>
  </cellXfs>
  <cellStyles count="3">
    <cellStyle name="Normal" xfId="0" builtinId="0"/>
    <cellStyle name="ParaBirimi" xfId="2" builtinId="4"/>
    <cellStyle name="Virgül" xfId="1" builtinId="3"/>
  </cellStyles>
  <dxfs count="2"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325537666000699E-2"/>
          <c:y val="1.4398863125534718E-2"/>
          <c:w val="0.92742429584361652"/>
          <c:h val="0.98560113687446527"/>
        </c:manualLayout>
      </c:layout>
      <c:doughnutChart>
        <c:varyColors val="1"/>
        <c:ser>
          <c:idx val="0"/>
          <c:order val="0"/>
          <c:tx>
            <c:strRef>
              <c:f>Veriler!$K$1</c:f>
              <c:strCache>
                <c:ptCount val="1"/>
                <c:pt idx="0">
                  <c:v>Toplam Tutar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Veriler!$J$2:$J$3</c:f>
              <c:strCache>
                <c:ptCount val="2"/>
                <c:pt idx="0">
                  <c:v>Şubat</c:v>
                </c:pt>
                <c:pt idx="1">
                  <c:v>Diğer</c:v>
                </c:pt>
              </c:strCache>
            </c:strRef>
          </c:cat>
          <c:val>
            <c:numRef>
              <c:f>Veriler!$K$2:$K$3</c:f>
              <c:numCache>
                <c:formatCode>_-* #,##0\ "TL"_-;\-* #,##0\ "TL"_-;_-* "-"??\ "TL"_-;_-@_-</c:formatCode>
                <c:ptCount val="2"/>
                <c:pt idx="0">
                  <c:v>35585</c:v>
                </c:pt>
                <c:pt idx="1">
                  <c:v>204765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75-450F-9083-5462CE39A95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4</xdr:row>
      <xdr:rowOff>133350</xdr:rowOff>
    </xdr:from>
    <xdr:to>
      <xdr:col>11</xdr:col>
      <xdr:colOff>47625</xdr:colOff>
      <xdr:row>13</xdr:row>
      <xdr:rowOff>142875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5EC255FC-1667-4E8C-A1A7-27FE418E05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60E9-7C18-4762-90C1-9FC9C429BA23}">
  <sheetPr>
    <pageSetUpPr fitToPage="1"/>
  </sheetPr>
  <dimension ref="A1:N35"/>
  <sheetViews>
    <sheetView showGridLines="0" tabSelected="1" zoomScaleNormal="100" workbookViewId="0">
      <selection activeCell="L7" sqref="L7"/>
    </sheetView>
  </sheetViews>
  <sheetFormatPr defaultRowHeight="15" x14ac:dyDescent="0.25"/>
  <cols>
    <col min="1" max="1" width="13.140625" style="16" customWidth="1"/>
    <col min="2" max="2" width="19" style="12" customWidth="1"/>
    <col min="3" max="3" width="8.7109375" style="17" bestFit="1" customWidth="1"/>
    <col min="4" max="4" width="15.28515625" style="12" customWidth="1"/>
    <col min="5" max="5" width="7.7109375" style="12" customWidth="1"/>
    <col min="6" max="6" width="9.5703125" style="12" customWidth="1"/>
    <col min="7" max="7" width="13.5703125" style="18" bestFit="1" customWidth="1"/>
    <col min="8" max="8" width="4.85546875" style="17" customWidth="1"/>
    <col min="10" max="10" width="14.5703125" customWidth="1"/>
    <col min="11" max="11" width="13.28515625" customWidth="1"/>
    <col min="14" max="14" width="0" hidden="1" customWidth="1"/>
  </cols>
  <sheetData>
    <row r="1" spans="1:14" ht="20.25" customHeight="1" x14ac:dyDescent="0.25">
      <c r="A1" s="1" t="s">
        <v>0</v>
      </c>
      <c r="B1" s="1" t="s">
        <v>1</v>
      </c>
      <c r="C1" s="1" t="s">
        <v>15</v>
      </c>
      <c r="D1" s="1" t="s">
        <v>2</v>
      </c>
      <c r="E1" s="1" t="s">
        <v>3</v>
      </c>
      <c r="F1" s="1" t="s">
        <v>4</v>
      </c>
      <c r="G1" s="2" t="s">
        <v>5</v>
      </c>
      <c r="H1" s="1" t="s">
        <v>20</v>
      </c>
      <c r="J1" s="20" t="s">
        <v>21</v>
      </c>
      <c r="K1" s="20" t="s">
        <v>22</v>
      </c>
      <c r="N1" s="19" t="s">
        <v>23</v>
      </c>
    </row>
    <row r="2" spans="1:14" x14ac:dyDescent="0.25">
      <c r="A2" s="11">
        <v>44577</v>
      </c>
      <c r="B2" s="10" t="s">
        <v>7</v>
      </c>
      <c r="C2" s="5" t="s">
        <v>19</v>
      </c>
      <c r="D2" s="4" t="s">
        <v>13</v>
      </c>
      <c r="E2" s="7">
        <v>99</v>
      </c>
      <c r="F2" s="7">
        <v>50</v>
      </c>
      <c r="G2" s="8">
        <f t="shared" ref="G2:G35" si="0">E2*F2</f>
        <v>4950</v>
      </c>
      <c r="H2" s="5">
        <f t="shared" ref="H2:H35" si="1">MONTH(A2)</f>
        <v>1</v>
      </c>
      <c r="J2" s="22" t="s">
        <v>24</v>
      </c>
      <c r="K2" s="21">
        <f>SUMIF(H:H,MATCH(J2,N1:N12,0),G:G)</f>
        <v>35585</v>
      </c>
      <c r="N2" s="19" t="s">
        <v>24</v>
      </c>
    </row>
    <row r="3" spans="1:14" x14ac:dyDescent="0.25">
      <c r="A3" s="11">
        <v>44577</v>
      </c>
      <c r="B3" s="10" t="s">
        <v>7</v>
      </c>
      <c r="C3" s="5" t="s">
        <v>19</v>
      </c>
      <c r="D3" s="4" t="s">
        <v>13</v>
      </c>
      <c r="E3" s="7">
        <v>98</v>
      </c>
      <c r="F3" s="7">
        <v>50</v>
      </c>
      <c r="G3" s="8">
        <f t="shared" si="0"/>
        <v>4900</v>
      </c>
      <c r="H3" s="5">
        <f t="shared" si="1"/>
        <v>1</v>
      </c>
      <c r="J3" s="22" t="s">
        <v>36</v>
      </c>
      <c r="K3" s="23">
        <f>K4-K2</f>
        <v>204765</v>
      </c>
      <c r="N3" s="19" t="s">
        <v>25</v>
      </c>
    </row>
    <row r="4" spans="1:14" x14ac:dyDescent="0.25">
      <c r="A4" s="11">
        <v>44583</v>
      </c>
      <c r="B4" s="10" t="s">
        <v>7</v>
      </c>
      <c r="C4" s="5" t="s">
        <v>17</v>
      </c>
      <c r="D4" s="4" t="s">
        <v>10</v>
      </c>
      <c r="E4" s="7">
        <v>62</v>
      </c>
      <c r="F4" s="7">
        <v>250</v>
      </c>
      <c r="G4" s="8">
        <f t="shared" si="0"/>
        <v>15500</v>
      </c>
      <c r="H4" s="5">
        <f t="shared" si="1"/>
        <v>1</v>
      </c>
      <c r="J4" s="22" t="s">
        <v>35</v>
      </c>
      <c r="K4" s="23">
        <f>SUM(G:G)</f>
        <v>240350</v>
      </c>
      <c r="N4" s="19" t="s">
        <v>26</v>
      </c>
    </row>
    <row r="5" spans="1:14" x14ac:dyDescent="0.25">
      <c r="A5" s="11">
        <v>44583</v>
      </c>
      <c r="B5" s="10" t="s">
        <v>7</v>
      </c>
      <c r="C5" s="5" t="s">
        <v>17</v>
      </c>
      <c r="D5" s="4" t="s">
        <v>10</v>
      </c>
      <c r="E5" s="7">
        <v>61</v>
      </c>
      <c r="F5" s="7">
        <v>250</v>
      </c>
      <c r="G5" s="8">
        <f t="shared" si="0"/>
        <v>15250</v>
      </c>
      <c r="H5" s="5">
        <f t="shared" si="1"/>
        <v>1</v>
      </c>
      <c r="N5" s="19" t="s">
        <v>27</v>
      </c>
    </row>
    <row r="6" spans="1:14" x14ac:dyDescent="0.25">
      <c r="A6" s="9">
        <v>44595</v>
      </c>
      <c r="B6" s="10" t="s">
        <v>7</v>
      </c>
      <c r="C6" s="5" t="s">
        <v>19</v>
      </c>
      <c r="D6" s="4" t="s">
        <v>13</v>
      </c>
      <c r="E6" s="7">
        <v>257</v>
      </c>
      <c r="F6" s="7">
        <v>30</v>
      </c>
      <c r="G6" s="8">
        <f t="shared" si="0"/>
        <v>7710</v>
      </c>
      <c r="H6" s="5">
        <f t="shared" si="1"/>
        <v>2</v>
      </c>
      <c r="N6" s="19" t="s">
        <v>28</v>
      </c>
    </row>
    <row r="7" spans="1:14" x14ac:dyDescent="0.25">
      <c r="A7" s="9">
        <v>44607</v>
      </c>
      <c r="B7" s="10" t="s">
        <v>7</v>
      </c>
      <c r="C7" s="5" t="s">
        <v>6</v>
      </c>
      <c r="D7" s="4" t="s">
        <v>11</v>
      </c>
      <c r="E7" s="7">
        <v>87</v>
      </c>
      <c r="F7" s="7">
        <v>75</v>
      </c>
      <c r="G7" s="8">
        <f t="shared" si="0"/>
        <v>6525</v>
      </c>
      <c r="H7" s="5">
        <f t="shared" si="1"/>
        <v>2</v>
      </c>
      <c r="N7" s="19" t="s">
        <v>29</v>
      </c>
    </row>
    <row r="8" spans="1:14" x14ac:dyDescent="0.25">
      <c r="A8" s="9">
        <v>44610</v>
      </c>
      <c r="B8" s="10" t="s">
        <v>7</v>
      </c>
      <c r="C8" s="5" t="s">
        <v>16</v>
      </c>
      <c r="D8" s="10" t="s">
        <v>11</v>
      </c>
      <c r="E8" s="7">
        <v>114</v>
      </c>
      <c r="F8" s="7">
        <v>50</v>
      </c>
      <c r="G8" s="8">
        <f t="shared" si="0"/>
        <v>5700</v>
      </c>
      <c r="H8" s="5">
        <f t="shared" si="1"/>
        <v>2</v>
      </c>
      <c r="N8" s="19" t="s">
        <v>30</v>
      </c>
    </row>
    <row r="9" spans="1:14" x14ac:dyDescent="0.25">
      <c r="A9" s="3">
        <v>44612</v>
      </c>
      <c r="B9" s="4" t="s">
        <v>9</v>
      </c>
      <c r="C9" s="6" t="s">
        <v>18</v>
      </c>
      <c r="D9" s="4" t="s">
        <v>12</v>
      </c>
      <c r="E9" s="7">
        <v>215</v>
      </c>
      <c r="F9" s="7">
        <v>25</v>
      </c>
      <c r="G9" s="8">
        <f t="shared" si="0"/>
        <v>5375</v>
      </c>
      <c r="H9" s="5">
        <f t="shared" si="1"/>
        <v>2</v>
      </c>
      <c r="N9" s="19" t="s">
        <v>31</v>
      </c>
    </row>
    <row r="10" spans="1:14" x14ac:dyDescent="0.25">
      <c r="A10" s="9">
        <v>44613</v>
      </c>
      <c r="B10" s="10" t="s">
        <v>9</v>
      </c>
      <c r="C10" s="5" t="s">
        <v>19</v>
      </c>
      <c r="D10" s="4" t="s">
        <v>13</v>
      </c>
      <c r="E10" s="7">
        <v>95</v>
      </c>
      <c r="F10" s="7">
        <v>75</v>
      </c>
      <c r="G10" s="8">
        <f t="shared" si="0"/>
        <v>7125</v>
      </c>
      <c r="H10" s="5">
        <f t="shared" si="1"/>
        <v>2</v>
      </c>
      <c r="M10" s="13"/>
      <c r="N10" s="19" t="s">
        <v>32</v>
      </c>
    </row>
    <row r="11" spans="1:14" x14ac:dyDescent="0.25">
      <c r="A11" s="3">
        <v>44615</v>
      </c>
      <c r="B11" s="4" t="s">
        <v>7</v>
      </c>
      <c r="C11" s="6" t="s">
        <v>16</v>
      </c>
      <c r="D11" s="4" t="s">
        <v>8</v>
      </c>
      <c r="E11" s="7">
        <v>7</v>
      </c>
      <c r="F11" s="7">
        <v>450</v>
      </c>
      <c r="G11" s="8">
        <f t="shared" si="0"/>
        <v>3150</v>
      </c>
      <c r="H11" s="5">
        <f t="shared" si="1"/>
        <v>2</v>
      </c>
      <c r="N11" s="19" t="s">
        <v>33</v>
      </c>
    </row>
    <row r="12" spans="1:14" x14ac:dyDescent="0.25">
      <c r="A12" s="9">
        <v>44635</v>
      </c>
      <c r="B12" s="10" t="s">
        <v>7</v>
      </c>
      <c r="C12" s="5" t="s">
        <v>6</v>
      </c>
      <c r="D12" s="4" t="s">
        <v>11</v>
      </c>
      <c r="E12" s="7">
        <v>84</v>
      </c>
      <c r="F12" s="7">
        <v>75</v>
      </c>
      <c r="G12" s="8">
        <f t="shared" si="0"/>
        <v>6300</v>
      </c>
      <c r="H12" s="5">
        <f t="shared" si="1"/>
        <v>3</v>
      </c>
      <c r="N12" s="19" t="s">
        <v>34</v>
      </c>
    </row>
    <row r="13" spans="1:14" x14ac:dyDescent="0.25">
      <c r="A13" s="9">
        <v>44642</v>
      </c>
      <c r="B13" s="10" t="s">
        <v>9</v>
      </c>
      <c r="C13" s="5" t="s">
        <v>17</v>
      </c>
      <c r="D13" s="10" t="s">
        <v>12</v>
      </c>
      <c r="E13" s="7">
        <v>126</v>
      </c>
      <c r="F13" s="7">
        <v>75</v>
      </c>
      <c r="G13" s="8">
        <f t="shared" si="0"/>
        <v>9450</v>
      </c>
      <c r="H13" s="5">
        <f t="shared" si="1"/>
        <v>3</v>
      </c>
    </row>
    <row r="14" spans="1:14" x14ac:dyDescent="0.25">
      <c r="A14" s="9">
        <v>44642</v>
      </c>
      <c r="B14" s="10" t="s">
        <v>9</v>
      </c>
      <c r="C14" s="5" t="s">
        <v>17</v>
      </c>
      <c r="D14" s="10" t="s">
        <v>12</v>
      </c>
      <c r="E14" s="7">
        <v>123</v>
      </c>
      <c r="F14" s="7">
        <v>75</v>
      </c>
      <c r="G14" s="8">
        <f t="shared" si="0"/>
        <v>9225</v>
      </c>
      <c r="H14" s="5">
        <f t="shared" si="1"/>
        <v>3</v>
      </c>
    </row>
    <row r="15" spans="1:14" x14ac:dyDescent="0.25">
      <c r="A15" s="3">
        <v>44650</v>
      </c>
      <c r="B15" s="4" t="s">
        <v>9</v>
      </c>
      <c r="C15" s="6" t="s">
        <v>18</v>
      </c>
      <c r="D15" s="4" t="s">
        <v>12</v>
      </c>
      <c r="E15" s="7">
        <v>212</v>
      </c>
      <c r="F15" s="7">
        <v>25</v>
      </c>
      <c r="G15" s="8">
        <f t="shared" si="0"/>
        <v>5300</v>
      </c>
      <c r="H15" s="5">
        <f t="shared" si="1"/>
        <v>3</v>
      </c>
      <c r="M15" s="14"/>
    </row>
    <row r="16" spans="1:14" x14ac:dyDescent="0.25">
      <c r="A16" s="9">
        <v>44654</v>
      </c>
      <c r="B16" s="10" t="s">
        <v>7</v>
      </c>
      <c r="C16" s="5" t="s">
        <v>19</v>
      </c>
      <c r="D16" s="4" t="s">
        <v>13</v>
      </c>
      <c r="E16" s="7">
        <v>261</v>
      </c>
      <c r="F16" s="7">
        <v>30</v>
      </c>
      <c r="G16" s="8">
        <f t="shared" si="0"/>
        <v>7830</v>
      </c>
      <c r="H16" s="5">
        <f t="shared" si="1"/>
        <v>4</v>
      </c>
    </row>
    <row r="17" spans="1:13" x14ac:dyDescent="0.25">
      <c r="A17" s="9">
        <v>44658</v>
      </c>
      <c r="B17" s="10" t="s">
        <v>9</v>
      </c>
      <c r="C17" s="5" t="s">
        <v>19</v>
      </c>
      <c r="D17" s="10" t="s">
        <v>10</v>
      </c>
      <c r="E17" s="7">
        <v>240</v>
      </c>
      <c r="F17" s="7">
        <v>30</v>
      </c>
      <c r="G17" s="8">
        <f t="shared" si="0"/>
        <v>7200</v>
      </c>
      <c r="H17" s="5">
        <f t="shared" si="1"/>
        <v>4</v>
      </c>
      <c r="M17" s="15"/>
    </row>
    <row r="18" spans="1:13" x14ac:dyDescent="0.25">
      <c r="A18" s="9">
        <v>44658</v>
      </c>
      <c r="B18" s="10" t="s">
        <v>9</v>
      </c>
      <c r="C18" s="5" t="s">
        <v>19</v>
      </c>
      <c r="D18" s="10" t="s">
        <v>10</v>
      </c>
      <c r="E18" s="7">
        <v>236</v>
      </c>
      <c r="F18" s="7">
        <v>30</v>
      </c>
      <c r="G18" s="8">
        <f t="shared" si="0"/>
        <v>7080</v>
      </c>
      <c r="H18" s="5">
        <f t="shared" si="1"/>
        <v>4</v>
      </c>
    </row>
    <row r="19" spans="1:13" x14ac:dyDescent="0.25">
      <c r="A19" s="9">
        <v>44670</v>
      </c>
      <c r="B19" s="10" t="s">
        <v>9</v>
      </c>
      <c r="C19" s="5" t="s">
        <v>18</v>
      </c>
      <c r="D19" s="10" t="s">
        <v>10</v>
      </c>
      <c r="E19" s="7">
        <v>135</v>
      </c>
      <c r="F19" s="7">
        <v>30</v>
      </c>
      <c r="G19" s="8">
        <f t="shared" si="0"/>
        <v>4050</v>
      </c>
      <c r="H19" s="5">
        <f t="shared" si="1"/>
        <v>4</v>
      </c>
    </row>
    <row r="20" spans="1:13" x14ac:dyDescent="0.25">
      <c r="A20" s="9">
        <v>44670</v>
      </c>
      <c r="B20" s="10" t="s">
        <v>9</v>
      </c>
      <c r="C20" s="5" t="s">
        <v>18</v>
      </c>
      <c r="D20" s="10" t="s">
        <v>10</v>
      </c>
      <c r="E20" s="7">
        <v>131</v>
      </c>
      <c r="F20" s="7">
        <v>30</v>
      </c>
      <c r="G20" s="8">
        <f t="shared" si="0"/>
        <v>3930</v>
      </c>
      <c r="H20" s="5">
        <f t="shared" si="1"/>
        <v>4</v>
      </c>
    </row>
    <row r="21" spans="1:13" x14ac:dyDescent="0.25">
      <c r="A21" s="3">
        <v>44674</v>
      </c>
      <c r="B21" s="4" t="s">
        <v>7</v>
      </c>
      <c r="C21" s="6" t="s">
        <v>17</v>
      </c>
      <c r="D21" s="4" t="s">
        <v>10</v>
      </c>
      <c r="E21" s="7">
        <v>23</v>
      </c>
      <c r="F21" s="7">
        <v>450</v>
      </c>
      <c r="G21" s="8">
        <f t="shared" si="0"/>
        <v>10350</v>
      </c>
      <c r="H21" s="5">
        <f t="shared" si="1"/>
        <v>4</v>
      </c>
    </row>
    <row r="22" spans="1:13" x14ac:dyDescent="0.25">
      <c r="A22" s="3">
        <v>44674</v>
      </c>
      <c r="B22" s="4" t="s">
        <v>7</v>
      </c>
      <c r="C22" s="6" t="s">
        <v>16</v>
      </c>
      <c r="D22" s="4" t="s">
        <v>8</v>
      </c>
      <c r="E22" s="7">
        <v>3</v>
      </c>
      <c r="F22" s="7">
        <v>450</v>
      </c>
      <c r="G22" s="8">
        <f t="shared" si="0"/>
        <v>1350</v>
      </c>
      <c r="H22" s="5">
        <f t="shared" si="1"/>
        <v>4</v>
      </c>
    </row>
    <row r="23" spans="1:13" x14ac:dyDescent="0.25">
      <c r="A23" s="3">
        <v>44674</v>
      </c>
      <c r="B23" s="4" t="s">
        <v>7</v>
      </c>
      <c r="C23" s="6" t="s">
        <v>17</v>
      </c>
      <c r="D23" s="4" t="s">
        <v>10</v>
      </c>
      <c r="E23" s="7">
        <v>19</v>
      </c>
      <c r="F23" s="7">
        <v>450</v>
      </c>
      <c r="G23" s="8">
        <f t="shared" si="0"/>
        <v>8550</v>
      </c>
      <c r="H23" s="5">
        <f t="shared" si="1"/>
        <v>4</v>
      </c>
    </row>
    <row r="24" spans="1:13" x14ac:dyDescent="0.25">
      <c r="A24" s="9">
        <v>44698</v>
      </c>
      <c r="B24" s="10" t="s">
        <v>14</v>
      </c>
      <c r="C24" s="5" t="s">
        <v>16</v>
      </c>
      <c r="D24" s="4" t="s">
        <v>13</v>
      </c>
      <c r="E24" s="7">
        <v>121</v>
      </c>
      <c r="F24" s="7">
        <v>75</v>
      </c>
      <c r="G24" s="8">
        <f t="shared" si="0"/>
        <v>9075</v>
      </c>
      <c r="H24" s="5">
        <f t="shared" si="1"/>
        <v>5</v>
      </c>
    </row>
    <row r="25" spans="1:13" x14ac:dyDescent="0.25">
      <c r="A25" s="9">
        <v>44698</v>
      </c>
      <c r="B25" s="10" t="s">
        <v>14</v>
      </c>
      <c r="C25" s="5" t="s">
        <v>16</v>
      </c>
      <c r="D25" s="4" t="s">
        <v>13</v>
      </c>
      <c r="E25" s="7">
        <v>116</v>
      </c>
      <c r="F25" s="7">
        <v>75</v>
      </c>
      <c r="G25" s="8">
        <f t="shared" si="0"/>
        <v>8700</v>
      </c>
      <c r="H25" s="5">
        <f t="shared" si="1"/>
        <v>5</v>
      </c>
    </row>
    <row r="26" spans="1:13" x14ac:dyDescent="0.25">
      <c r="A26" s="9">
        <v>44702</v>
      </c>
      <c r="B26" s="10" t="s">
        <v>9</v>
      </c>
      <c r="C26" s="5" t="s">
        <v>18</v>
      </c>
      <c r="D26" s="4" t="s">
        <v>13</v>
      </c>
      <c r="E26" s="7">
        <v>70</v>
      </c>
      <c r="F26" s="7">
        <v>75</v>
      </c>
      <c r="G26" s="8">
        <f t="shared" si="0"/>
        <v>5250</v>
      </c>
      <c r="H26" s="5">
        <f t="shared" si="1"/>
        <v>5</v>
      </c>
    </row>
    <row r="27" spans="1:13" x14ac:dyDescent="0.25">
      <c r="A27" s="9">
        <v>44702</v>
      </c>
      <c r="B27" s="10" t="s">
        <v>9</v>
      </c>
      <c r="C27" s="5" t="s">
        <v>18</v>
      </c>
      <c r="D27" s="4" t="s">
        <v>13</v>
      </c>
      <c r="E27" s="7">
        <v>65</v>
      </c>
      <c r="F27" s="7">
        <v>75</v>
      </c>
      <c r="G27" s="8">
        <f t="shared" si="0"/>
        <v>4875</v>
      </c>
      <c r="H27" s="5">
        <f t="shared" si="1"/>
        <v>5</v>
      </c>
    </row>
    <row r="28" spans="1:13" x14ac:dyDescent="0.25">
      <c r="A28" s="9">
        <v>44702</v>
      </c>
      <c r="B28" s="10" t="s">
        <v>9</v>
      </c>
      <c r="C28" s="5" t="s">
        <v>19</v>
      </c>
      <c r="D28" s="4" t="s">
        <v>13</v>
      </c>
      <c r="E28" s="7">
        <v>90</v>
      </c>
      <c r="F28" s="7">
        <v>75</v>
      </c>
      <c r="G28" s="8">
        <f t="shared" si="0"/>
        <v>6750</v>
      </c>
      <c r="H28" s="5">
        <f t="shared" si="1"/>
        <v>5</v>
      </c>
    </row>
    <row r="29" spans="1:13" x14ac:dyDescent="0.25">
      <c r="A29" s="9">
        <v>44718</v>
      </c>
      <c r="B29" s="10" t="s">
        <v>7</v>
      </c>
      <c r="C29" s="5" t="s">
        <v>18</v>
      </c>
      <c r="D29" s="4" t="s">
        <v>12</v>
      </c>
      <c r="E29" s="7">
        <v>152</v>
      </c>
      <c r="F29" s="7">
        <v>50</v>
      </c>
      <c r="G29" s="8">
        <f t="shared" si="0"/>
        <v>7600</v>
      </c>
      <c r="H29" s="5">
        <f t="shared" si="1"/>
        <v>6</v>
      </c>
    </row>
    <row r="30" spans="1:13" x14ac:dyDescent="0.25">
      <c r="A30" s="9">
        <v>44718</v>
      </c>
      <c r="B30" s="10" t="s">
        <v>7</v>
      </c>
      <c r="C30" s="5" t="s">
        <v>6</v>
      </c>
      <c r="D30" s="10" t="s">
        <v>11</v>
      </c>
      <c r="E30" s="7">
        <v>139</v>
      </c>
      <c r="F30" s="7">
        <v>50</v>
      </c>
      <c r="G30" s="8">
        <f t="shared" si="0"/>
        <v>6950</v>
      </c>
      <c r="H30" s="5">
        <f t="shared" si="1"/>
        <v>6</v>
      </c>
    </row>
    <row r="31" spans="1:13" x14ac:dyDescent="0.25">
      <c r="A31" s="9">
        <v>44718</v>
      </c>
      <c r="B31" s="10" t="s">
        <v>7</v>
      </c>
      <c r="C31" s="5" t="s">
        <v>18</v>
      </c>
      <c r="D31" s="4" t="s">
        <v>12</v>
      </c>
      <c r="E31" s="7">
        <v>146</v>
      </c>
      <c r="F31" s="7">
        <v>50</v>
      </c>
      <c r="G31" s="8">
        <f t="shared" si="0"/>
        <v>7300</v>
      </c>
      <c r="H31" s="5">
        <f t="shared" si="1"/>
        <v>6</v>
      </c>
    </row>
    <row r="32" spans="1:13" x14ac:dyDescent="0.25">
      <c r="A32" s="9">
        <v>44718</v>
      </c>
      <c r="B32" s="10" t="s">
        <v>7</v>
      </c>
      <c r="C32" s="5" t="s">
        <v>6</v>
      </c>
      <c r="D32" s="10" t="s">
        <v>11</v>
      </c>
      <c r="E32" s="7">
        <v>133</v>
      </c>
      <c r="F32" s="7">
        <v>50</v>
      </c>
      <c r="G32" s="8">
        <f t="shared" si="0"/>
        <v>6650</v>
      </c>
      <c r="H32" s="5">
        <f t="shared" si="1"/>
        <v>6</v>
      </c>
    </row>
    <row r="33" spans="1:8" x14ac:dyDescent="0.25">
      <c r="A33" s="9">
        <v>44730</v>
      </c>
      <c r="B33" s="10" t="s">
        <v>7</v>
      </c>
      <c r="C33" s="5" t="s">
        <v>16</v>
      </c>
      <c r="D33" s="10" t="s">
        <v>11</v>
      </c>
      <c r="E33" s="7">
        <v>108</v>
      </c>
      <c r="F33" s="7">
        <v>50</v>
      </c>
      <c r="G33" s="8">
        <f t="shared" si="0"/>
        <v>5400</v>
      </c>
      <c r="H33" s="5">
        <f t="shared" si="1"/>
        <v>6</v>
      </c>
    </row>
    <row r="34" spans="1:8" x14ac:dyDescent="0.25">
      <c r="A34" s="9">
        <v>44742</v>
      </c>
      <c r="B34" s="10" t="s">
        <v>7</v>
      </c>
      <c r="C34" s="5" t="s">
        <v>6</v>
      </c>
      <c r="D34" s="4" t="s">
        <v>11</v>
      </c>
      <c r="E34" s="7">
        <v>33</v>
      </c>
      <c r="F34" s="7">
        <v>250</v>
      </c>
      <c r="G34" s="8">
        <f t="shared" si="0"/>
        <v>8250</v>
      </c>
      <c r="H34" s="5">
        <f t="shared" si="1"/>
        <v>6</v>
      </c>
    </row>
    <row r="35" spans="1:8" x14ac:dyDescent="0.25">
      <c r="A35" s="9">
        <v>44742</v>
      </c>
      <c r="B35" s="10" t="s">
        <v>7</v>
      </c>
      <c r="C35" s="5" t="s">
        <v>6</v>
      </c>
      <c r="D35" s="4" t="s">
        <v>11</v>
      </c>
      <c r="E35" s="7">
        <v>27</v>
      </c>
      <c r="F35" s="7">
        <v>250</v>
      </c>
      <c r="G35" s="8">
        <f t="shared" si="0"/>
        <v>6750</v>
      </c>
      <c r="H35" s="5">
        <f t="shared" si="1"/>
        <v>6</v>
      </c>
    </row>
  </sheetData>
  <sortState xmlns:xlrd2="http://schemas.microsoft.com/office/spreadsheetml/2017/richdata2" ref="A2:H35">
    <sortCondition ref="A3:A35"/>
  </sortState>
  <phoneticPr fontId="4" type="noConversion"/>
  <conditionalFormatting sqref="E2:E18">
    <cfRule type="cellIs" dxfId="1" priority="4" operator="greaterThan">
      <formula>100</formula>
    </cfRule>
  </conditionalFormatting>
  <conditionalFormatting sqref="E19:E35">
    <cfRule type="cellIs" dxfId="0" priority="1" operator="greaterThan">
      <formula>100</formula>
    </cfRule>
  </conditionalFormatting>
  <dataValidations count="1">
    <dataValidation type="list" allowBlank="1" showInputMessage="1" showErrorMessage="1" sqref="J2" xr:uid="{0DAFD0DE-09FF-4E5A-B357-40E8A6E99B0B}">
      <formula1>$N$1:$N$12</formula1>
    </dataValidation>
  </dataValidations>
  <pageMargins left="0.25" right="0.25" top="0.75" bottom="0.75" header="0.3" footer="0.3"/>
  <pageSetup paperSize="9" scale="5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2021-03-28T15:11:18Z</dcterms:created>
  <dcterms:modified xsi:type="dcterms:W3CDTF">2021-04-01T19:04:05Z</dcterms:modified>
</cp:coreProperties>
</file>