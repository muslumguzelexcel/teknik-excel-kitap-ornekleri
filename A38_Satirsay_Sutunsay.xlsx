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E9F2FD01-2CDF-417E-B26C-03656ABD64CF}" xr6:coauthVersionLast="46" xr6:coauthVersionMax="46" xr10:uidLastSave="{00000000-0000-0000-0000-000000000000}"/>
  <bookViews>
    <workbookView xWindow="-120" yWindow="-120" windowWidth="24240" windowHeight="13140" xr2:uid="{E76730E4-F759-4B26-BEB3-FDEC42203F91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" l="1"/>
  <c r="G3" i="2"/>
  <c r="G7" i="2"/>
  <c r="G9" i="2"/>
  <c r="G4" i="2"/>
  <c r="G2" i="2"/>
  <c r="G8" i="2"/>
  <c r="G13" i="2"/>
  <c r="G6" i="2"/>
  <c r="G10" i="2"/>
  <c r="G12" i="2"/>
  <c r="G5" i="2"/>
  <c r="D9" i="1" l="1"/>
  <c r="D8" i="1"/>
  <c r="D7" i="1"/>
  <c r="D4" i="1"/>
  <c r="D3" i="1"/>
  <c r="D2" i="1"/>
  <c r="E9" i="1"/>
  <c r="E8" i="1"/>
  <c r="E7" i="1"/>
  <c r="E4" i="1"/>
  <c r="E3" i="1"/>
  <c r="E2" i="1"/>
</calcChain>
</file>

<file path=xl/sharedStrings.xml><?xml version="1.0" encoding="utf-8"?>
<sst xmlns="http://schemas.openxmlformats.org/spreadsheetml/2006/main" count="123" uniqueCount="74">
  <si>
    <t>Başlık</t>
  </si>
  <si>
    <t>B Ürünü</t>
  </si>
  <si>
    <t>A Ürünü</t>
  </si>
  <si>
    <t>C ürünü</t>
  </si>
  <si>
    <t>#$!</t>
  </si>
  <si>
    <t>Sonuç</t>
  </si>
  <si>
    <t>Formül</t>
  </si>
  <si>
    <t>Tarih</t>
  </si>
  <si>
    <t>Bölge Satıcı</t>
  </si>
  <si>
    <t>Tutar</t>
  </si>
  <si>
    <t>Metin Şener</t>
  </si>
  <si>
    <t>Gökçe Yılmaz</t>
  </si>
  <si>
    <t>Jale Çeliker</t>
  </si>
  <si>
    <t>Yavuzalp Pekel</t>
  </si>
  <si>
    <t>Deniz Güzel</t>
  </si>
  <si>
    <t>Veli Yılmaz</t>
  </si>
  <si>
    <t>Can Demirci</t>
  </si>
  <si>
    <t>Mehmet Saruhan</t>
  </si>
  <si>
    <t>Dilek Saruhan</t>
  </si>
  <si>
    <t>Arya Saruhan</t>
  </si>
  <si>
    <t>Arzu Deliduman</t>
  </si>
  <si>
    <t>Şirin Deliduman</t>
  </si>
  <si>
    <t>Fatura No</t>
  </si>
  <si>
    <t>A-0001</t>
  </si>
  <si>
    <t>A-0002</t>
  </si>
  <si>
    <t>A-0003</t>
  </si>
  <si>
    <t>A-0004</t>
  </si>
  <si>
    <t>A-0005</t>
  </si>
  <si>
    <t>A-0006</t>
  </si>
  <si>
    <t>A-0007</t>
  </si>
  <si>
    <t>A-0008</t>
  </si>
  <si>
    <t>A-0009</t>
  </si>
  <si>
    <t>A-0010</t>
  </si>
  <si>
    <t>A-0011</t>
  </si>
  <si>
    <t>A-0012</t>
  </si>
  <si>
    <t>A-0013</t>
  </si>
  <si>
    <t>A-0014</t>
  </si>
  <si>
    <t>A-0015</t>
  </si>
  <si>
    <t>A-0016</t>
  </si>
  <si>
    <t>A-0017</t>
  </si>
  <si>
    <t>A-0018</t>
  </si>
  <si>
    <t>A-0019</t>
  </si>
  <si>
    <t>A-0020</t>
  </si>
  <si>
    <t>A-0021</t>
  </si>
  <si>
    <t>A-0022</t>
  </si>
  <si>
    <t>A-0023</t>
  </si>
  <si>
    <t>A-0024</t>
  </si>
  <si>
    <t>A-0025</t>
  </si>
  <si>
    <t>A-0026</t>
  </si>
  <si>
    <t>A-0027</t>
  </si>
  <si>
    <t>A-0028</t>
  </si>
  <si>
    <t>A-0029</t>
  </si>
  <si>
    <t>A-0030</t>
  </si>
  <si>
    <t>A-0031</t>
  </si>
  <si>
    <t>A-0032</t>
  </si>
  <si>
    <t>A-0033</t>
  </si>
  <si>
    <t>A-0034</t>
  </si>
  <si>
    <t>A-0035</t>
  </si>
  <si>
    <t>A-0036</t>
  </si>
  <si>
    <t>A-0037</t>
  </si>
  <si>
    <t>A-0038</t>
  </si>
  <si>
    <t>A-0039</t>
  </si>
  <si>
    <t>A-0040</t>
  </si>
  <si>
    <t>A-0041</t>
  </si>
  <si>
    <t>A-0042</t>
  </si>
  <si>
    <t>A-0043</t>
  </si>
  <si>
    <t>A-0044</t>
  </si>
  <si>
    <t>A-0045</t>
  </si>
  <si>
    <t>A-0046</t>
  </si>
  <si>
    <t>A-0047</t>
  </si>
  <si>
    <t>A-0048</t>
  </si>
  <si>
    <t>Toplam Tutar</t>
  </si>
  <si>
    <t>ilk 5 Satış Temsilcisi</t>
  </si>
  <si>
    <t>=İNDİS($F$2:$F$13; SATIRSAY($F$2:F2))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</si>
</sst>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TL&quot;"/>
  </numFmts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4" fontId="1" fillId="0" borderId="1" xfId="0" applyNumberFormat="1" applyFont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6F4E-49E1-4118-9EE5-B025689E2831}">
  <dimension ref="B1:E9"/>
  <sheetViews>
    <sheetView showGridLines="0" tabSelected="1" zoomScale="115" zoomScaleNormal="115" workbookViewId="0">
      <selection activeCell="E13" sqref="E13"/>
    </sheetView>
  </sheetViews>
  <sheetFormatPr defaultRowHeight="15" x14ac:dyDescent="0.25"/>
  <cols>
    <col min="1" max="1" width="3.5703125" customWidth="1"/>
    <col min="2" max="2" width="12.7109375" customWidth="1"/>
    <col min="4" max="4" width="9.140625" style="4"/>
    <col min="5" max="5" width="27.28515625" bestFit="1" customWidth="1"/>
  </cols>
  <sheetData>
    <row r="1" spans="2:5" x14ac:dyDescent="0.25">
      <c r="B1" s="3" t="s">
        <v>0</v>
      </c>
      <c r="D1" s="5" t="s">
        <v>5</v>
      </c>
      <c r="E1" s="6" t="s">
        <v>6</v>
      </c>
    </row>
    <row r="2" spans="2:5" x14ac:dyDescent="0.25">
      <c r="B2" s="1" t="s">
        <v>2</v>
      </c>
      <c r="D2" s="5">
        <f>COUNT(B1:B9)</f>
        <v>3</v>
      </c>
      <c r="E2" s="6" t="str">
        <f ca="1">_xlfn.FORMULATEXT(D2)</f>
        <v>=BAĞ_DEĞ_SAY(B1:B9)</v>
      </c>
    </row>
    <row r="3" spans="2:5" x14ac:dyDescent="0.25">
      <c r="B3" s="1" t="s">
        <v>1</v>
      </c>
      <c r="D3" s="5">
        <f>COUNTA(B1:B9)</f>
        <v>8</v>
      </c>
      <c r="E3" s="6" t="str">
        <f ca="1">_xlfn.FORMULATEXT(D3)</f>
        <v>=BAĞ_DEĞ_DOLU_SAY(B1:B9)</v>
      </c>
    </row>
    <row r="4" spans="2:5" x14ac:dyDescent="0.25">
      <c r="B4" s="1">
        <v>23</v>
      </c>
      <c r="D4" s="5">
        <f>ROWS(B1:B9)</f>
        <v>9</v>
      </c>
      <c r="E4" s="6" t="str">
        <f ca="1">_xlfn.FORMULATEXT(D4)</f>
        <v>=SATIRSAY(B1:B9)</v>
      </c>
    </row>
    <row r="5" spans="2:5" x14ac:dyDescent="0.25">
      <c r="B5" s="1"/>
    </row>
    <row r="6" spans="2:5" x14ac:dyDescent="0.25">
      <c r="B6" s="1">
        <v>24</v>
      </c>
    </row>
    <row r="7" spans="2:5" x14ac:dyDescent="0.25">
      <c r="B7" s="2">
        <v>44297</v>
      </c>
      <c r="D7" s="5">
        <f>COUNT(B:B)</f>
        <v>3</v>
      </c>
      <c r="E7" s="6" t="str">
        <f t="shared" ref="E7:E9" ca="1" si="0">_xlfn.FORMULATEXT(D7)</f>
        <v>=BAĞ_DEĞ_SAY(B:B)</v>
      </c>
    </row>
    <row r="8" spans="2:5" x14ac:dyDescent="0.25">
      <c r="B8" s="1" t="s">
        <v>3</v>
      </c>
      <c r="D8" s="5">
        <f>COUNTA(B:B)</f>
        <v>8</v>
      </c>
      <c r="E8" s="6" t="str">
        <f t="shared" ca="1" si="0"/>
        <v>=BAĞ_DEĞ_DOLU_SAY(B:B)</v>
      </c>
    </row>
    <row r="9" spans="2:5" x14ac:dyDescent="0.25">
      <c r="B9" s="1" t="s">
        <v>4</v>
      </c>
      <c r="D9" s="5">
        <f>ROWS(B:B)</f>
        <v>1048576</v>
      </c>
      <c r="E9" s="6" t="str">
        <f t="shared" ca="1" si="0"/>
        <v>=SATIRSAY(B:B)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B0D9-15EC-461B-A468-9C5078C0B0F3}">
  <dimension ref="A1:K49"/>
  <sheetViews>
    <sheetView showGridLines="0" workbookViewId="0">
      <selection activeCell="K9" sqref="K9"/>
    </sheetView>
  </sheetViews>
  <sheetFormatPr defaultRowHeight="15" x14ac:dyDescent="0.25"/>
  <cols>
    <col min="1" max="1" width="10.42578125" customWidth="1"/>
    <col min="2" max="2" width="9.5703125" style="4" bestFit="1" customWidth="1"/>
    <col min="3" max="3" width="18.5703125" customWidth="1"/>
    <col min="4" max="4" width="10.85546875" customWidth="1"/>
    <col min="5" max="5" width="3" customWidth="1"/>
    <col min="6" max="6" width="18.5703125" customWidth="1"/>
    <col min="7" max="7" width="13.85546875" customWidth="1"/>
    <col min="8" max="10" width="3" customWidth="1"/>
    <col min="11" max="11" width="18.5703125" bestFit="1" customWidth="1"/>
  </cols>
  <sheetData>
    <row r="1" spans="1:11" x14ac:dyDescent="0.25">
      <c r="A1" s="7" t="s">
        <v>7</v>
      </c>
      <c r="B1" s="12" t="s">
        <v>22</v>
      </c>
      <c r="C1" s="8" t="s">
        <v>8</v>
      </c>
      <c r="D1" s="9" t="s">
        <v>9</v>
      </c>
      <c r="F1" s="14" t="s">
        <v>8</v>
      </c>
      <c r="G1" s="15" t="s">
        <v>71</v>
      </c>
      <c r="K1" s="14" t="s">
        <v>72</v>
      </c>
    </row>
    <row r="2" spans="1:11" x14ac:dyDescent="0.25">
      <c r="A2" s="10">
        <v>44567</v>
      </c>
      <c r="B2" s="13" t="s">
        <v>23</v>
      </c>
      <c r="C2" s="6" t="s">
        <v>10</v>
      </c>
      <c r="D2" s="11">
        <v>311200</v>
      </c>
      <c r="F2" s="6" t="s">
        <v>16</v>
      </c>
      <c r="G2" s="16">
        <f>SUMIF(C:C,F2,D:D)</f>
        <v>1960993</v>
      </c>
      <c r="K2" s="6"/>
    </row>
    <row r="3" spans="1:11" x14ac:dyDescent="0.25">
      <c r="A3" s="10">
        <v>44601</v>
      </c>
      <c r="B3" s="13" t="s">
        <v>24</v>
      </c>
      <c r="C3" s="6" t="s">
        <v>11</v>
      </c>
      <c r="D3" s="11">
        <v>385000</v>
      </c>
      <c r="F3" s="6" t="s">
        <v>12</v>
      </c>
      <c r="G3" s="16">
        <f>SUMIF(C:C,F3,D:D)</f>
        <v>1696350</v>
      </c>
      <c r="K3" s="6"/>
    </row>
    <row r="4" spans="1:11" x14ac:dyDescent="0.25">
      <c r="A4" s="10">
        <v>44618</v>
      </c>
      <c r="B4" s="13" t="s">
        <v>25</v>
      </c>
      <c r="C4" s="6" t="s">
        <v>12</v>
      </c>
      <c r="D4" s="11">
        <v>762000</v>
      </c>
      <c r="F4" s="6" t="s">
        <v>15</v>
      </c>
      <c r="G4" s="16">
        <f>SUMIF(C:C,F4,D:D)</f>
        <v>1476819</v>
      </c>
      <c r="K4" s="6"/>
    </row>
    <row r="5" spans="1:11" x14ac:dyDescent="0.25">
      <c r="A5" s="10">
        <v>44635</v>
      </c>
      <c r="B5" s="13" t="s">
        <v>26</v>
      </c>
      <c r="C5" s="6" t="s">
        <v>13</v>
      </c>
      <c r="D5" s="11">
        <v>231300</v>
      </c>
      <c r="F5" s="6" t="s">
        <v>10</v>
      </c>
      <c r="G5" s="16">
        <f>SUMIF(C:C,F5,D:D)</f>
        <v>1445974</v>
      </c>
      <c r="K5" s="6"/>
    </row>
    <row r="6" spans="1:11" x14ac:dyDescent="0.25">
      <c r="A6" s="10">
        <v>44669</v>
      </c>
      <c r="B6" s="13" t="s">
        <v>27</v>
      </c>
      <c r="C6" s="6" t="s">
        <v>14</v>
      </c>
      <c r="D6" s="11">
        <v>156500</v>
      </c>
      <c r="F6" s="6" t="s">
        <v>19</v>
      </c>
      <c r="G6" s="16">
        <f>SUMIF(C:C,F6,D:D)</f>
        <v>1341175</v>
      </c>
      <c r="K6" s="6"/>
    </row>
    <row r="7" spans="1:11" x14ac:dyDescent="0.25">
      <c r="A7" s="10">
        <v>44686</v>
      </c>
      <c r="B7" s="13" t="s">
        <v>28</v>
      </c>
      <c r="C7" s="6" t="s">
        <v>15</v>
      </c>
      <c r="D7" s="11">
        <v>574000</v>
      </c>
      <c r="F7" s="6" t="s">
        <v>13</v>
      </c>
      <c r="G7" s="16">
        <f>SUMIF(C:C,F7,D:D)</f>
        <v>1150958</v>
      </c>
    </row>
    <row r="8" spans="1:11" x14ac:dyDescent="0.25">
      <c r="A8" s="10">
        <v>44703</v>
      </c>
      <c r="B8" s="13" t="s">
        <v>29</v>
      </c>
      <c r="C8" s="6" t="s">
        <v>16</v>
      </c>
      <c r="D8" s="11">
        <v>584000</v>
      </c>
      <c r="F8" s="6" t="s">
        <v>17</v>
      </c>
      <c r="G8" s="16">
        <f>SUMIF(C:C,F8,D:D)</f>
        <v>1144536</v>
      </c>
    </row>
    <row r="9" spans="1:11" x14ac:dyDescent="0.25">
      <c r="A9" s="10">
        <v>44737</v>
      </c>
      <c r="B9" s="13" t="s">
        <v>30</v>
      </c>
      <c r="C9" s="6" t="s">
        <v>17</v>
      </c>
      <c r="D9" s="11">
        <v>188400</v>
      </c>
      <c r="F9" s="6" t="s">
        <v>14</v>
      </c>
      <c r="G9" s="16">
        <f>SUMIF(C:C,F9,D:D)</f>
        <v>1036363</v>
      </c>
    </row>
    <row r="10" spans="1:11" x14ac:dyDescent="0.25">
      <c r="A10" s="10">
        <v>44788</v>
      </c>
      <c r="B10" s="13" t="s">
        <v>31</v>
      </c>
      <c r="C10" s="6" t="s">
        <v>18</v>
      </c>
      <c r="D10" s="11">
        <v>54800</v>
      </c>
      <c r="F10" s="6" t="s">
        <v>20</v>
      </c>
      <c r="G10" s="16">
        <f>SUMIF(C:C,F10,D:D)</f>
        <v>992065</v>
      </c>
    </row>
    <row r="11" spans="1:11" x14ac:dyDescent="0.25">
      <c r="A11" s="10">
        <v>44822</v>
      </c>
      <c r="B11" s="13" t="s">
        <v>32</v>
      </c>
      <c r="C11" s="6" t="s">
        <v>19</v>
      </c>
      <c r="D11" s="11">
        <v>464000</v>
      </c>
      <c r="F11" s="6" t="s">
        <v>11</v>
      </c>
      <c r="G11" s="16">
        <f>SUMIF(C:C,F11,D:D)</f>
        <v>977077</v>
      </c>
    </row>
    <row r="12" spans="1:11" x14ac:dyDescent="0.25">
      <c r="A12" s="10">
        <v>44856</v>
      </c>
      <c r="B12" s="13" t="s">
        <v>33</v>
      </c>
      <c r="C12" s="6" t="s">
        <v>20</v>
      </c>
      <c r="D12" s="11">
        <v>212500</v>
      </c>
      <c r="F12" s="6" t="s">
        <v>21</v>
      </c>
      <c r="G12" s="16">
        <f>SUMIF(C:C,F12,D:D)</f>
        <v>580367</v>
      </c>
      <c r="K12" s="17" t="s">
        <v>73</v>
      </c>
    </row>
    <row r="13" spans="1:11" x14ac:dyDescent="0.25">
      <c r="A13" s="10">
        <v>44873</v>
      </c>
      <c r="B13" s="13" t="s">
        <v>34</v>
      </c>
      <c r="C13" s="6" t="s">
        <v>21</v>
      </c>
      <c r="D13" s="11">
        <v>63900</v>
      </c>
      <c r="F13" s="6" t="s">
        <v>18</v>
      </c>
      <c r="G13" s="16">
        <f>SUMIF(C:C,F13,D:D)</f>
        <v>433720</v>
      </c>
    </row>
    <row r="14" spans="1:11" x14ac:dyDescent="0.25">
      <c r="A14" s="10">
        <v>44890</v>
      </c>
      <c r="B14" s="13" t="s">
        <v>35</v>
      </c>
      <c r="C14" s="6" t="s">
        <v>10</v>
      </c>
      <c r="D14" s="11">
        <v>411000</v>
      </c>
    </row>
    <row r="15" spans="1:11" x14ac:dyDescent="0.25">
      <c r="A15" s="10">
        <v>44907</v>
      </c>
      <c r="B15" s="13" t="s">
        <v>36</v>
      </c>
      <c r="C15" s="6" t="s">
        <v>11</v>
      </c>
      <c r="D15" s="11">
        <v>96900</v>
      </c>
    </row>
    <row r="16" spans="1:11" x14ac:dyDescent="0.25">
      <c r="A16" s="10">
        <v>44924</v>
      </c>
      <c r="B16" s="13" t="s">
        <v>37</v>
      </c>
      <c r="C16" s="6" t="s">
        <v>12</v>
      </c>
      <c r="D16" s="11">
        <v>80200</v>
      </c>
    </row>
    <row r="17" spans="1:4" x14ac:dyDescent="0.25">
      <c r="A17" s="10">
        <v>44279</v>
      </c>
      <c r="B17" s="13" t="s">
        <v>38</v>
      </c>
      <c r="C17" s="6" t="s">
        <v>13</v>
      </c>
      <c r="D17" s="11">
        <v>342000</v>
      </c>
    </row>
    <row r="18" spans="1:4" x14ac:dyDescent="0.25">
      <c r="A18" s="10">
        <v>44296</v>
      </c>
      <c r="B18" s="13" t="s">
        <v>39</v>
      </c>
      <c r="C18" s="6" t="s">
        <v>14</v>
      </c>
      <c r="D18" s="11">
        <v>356000</v>
      </c>
    </row>
    <row r="19" spans="1:4" x14ac:dyDescent="0.25">
      <c r="A19" s="10">
        <v>44313</v>
      </c>
      <c r="B19" s="13" t="s">
        <v>40</v>
      </c>
      <c r="C19" s="6" t="s">
        <v>15</v>
      </c>
      <c r="D19" s="11">
        <v>163600</v>
      </c>
    </row>
    <row r="20" spans="1:4" x14ac:dyDescent="0.25">
      <c r="A20" s="10">
        <v>44330</v>
      </c>
      <c r="B20" s="13" t="s">
        <v>41</v>
      </c>
      <c r="C20" s="6" t="s">
        <v>16</v>
      </c>
      <c r="D20" s="11">
        <v>388800</v>
      </c>
    </row>
    <row r="21" spans="1:4" x14ac:dyDescent="0.25">
      <c r="A21" s="10">
        <v>44381</v>
      </c>
      <c r="B21" s="13" t="s">
        <v>42</v>
      </c>
      <c r="C21" s="6" t="s">
        <v>17</v>
      </c>
      <c r="D21" s="11">
        <v>380000</v>
      </c>
    </row>
    <row r="22" spans="1:4" x14ac:dyDescent="0.25">
      <c r="A22" s="10">
        <v>44398</v>
      </c>
      <c r="B22" s="13" t="s">
        <v>43</v>
      </c>
      <c r="C22" s="6" t="s">
        <v>18</v>
      </c>
      <c r="D22" s="11">
        <v>160500</v>
      </c>
    </row>
    <row r="23" spans="1:4" x14ac:dyDescent="0.25">
      <c r="A23" s="10">
        <v>44415</v>
      </c>
      <c r="B23" s="13" t="s">
        <v>44</v>
      </c>
      <c r="C23" s="6" t="s">
        <v>19</v>
      </c>
      <c r="D23" s="11">
        <v>199843</v>
      </c>
    </row>
    <row r="24" spans="1:4" x14ac:dyDescent="0.25">
      <c r="A24" s="10">
        <v>44449</v>
      </c>
      <c r="B24" s="13" t="s">
        <v>45</v>
      </c>
      <c r="C24" s="6" t="s">
        <v>20</v>
      </c>
      <c r="D24" s="11">
        <v>281009</v>
      </c>
    </row>
    <row r="25" spans="1:4" x14ac:dyDescent="0.25">
      <c r="A25" s="10">
        <v>44500</v>
      </c>
      <c r="B25" s="13" t="s">
        <v>46</v>
      </c>
      <c r="C25" s="6" t="s">
        <v>21</v>
      </c>
      <c r="D25" s="11">
        <v>224087</v>
      </c>
    </row>
    <row r="26" spans="1:4" x14ac:dyDescent="0.25">
      <c r="A26" s="10">
        <v>44501</v>
      </c>
      <c r="B26" s="13" t="s">
        <v>47</v>
      </c>
      <c r="C26" s="6" t="s">
        <v>10</v>
      </c>
      <c r="D26" s="11">
        <v>313138</v>
      </c>
    </row>
    <row r="27" spans="1:4" x14ac:dyDescent="0.25">
      <c r="A27" s="10">
        <v>44502</v>
      </c>
      <c r="B27" s="13" t="s">
        <v>48</v>
      </c>
      <c r="C27" s="6" t="s">
        <v>11</v>
      </c>
      <c r="D27" s="11">
        <v>388574</v>
      </c>
    </row>
    <row r="28" spans="1:4" x14ac:dyDescent="0.25">
      <c r="A28" s="10">
        <v>44503</v>
      </c>
      <c r="B28" s="13" t="s">
        <v>49</v>
      </c>
      <c r="C28" s="6" t="s">
        <v>12</v>
      </c>
      <c r="D28" s="11">
        <v>764367</v>
      </c>
    </row>
    <row r="29" spans="1:4" x14ac:dyDescent="0.25">
      <c r="A29" s="10">
        <v>44504</v>
      </c>
      <c r="B29" s="13" t="s">
        <v>50</v>
      </c>
      <c r="C29" s="6" t="s">
        <v>13</v>
      </c>
      <c r="D29" s="11">
        <v>236626</v>
      </c>
    </row>
    <row r="30" spans="1:4" x14ac:dyDescent="0.25">
      <c r="A30" s="10">
        <v>44505</v>
      </c>
      <c r="B30" s="13" t="s">
        <v>51</v>
      </c>
      <c r="C30" s="6" t="s">
        <v>14</v>
      </c>
      <c r="D30" s="11">
        <v>164282</v>
      </c>
    </row>
    <row r="31" spans="1:4" x14ac:dyDescent="0.25">
      <c r="A31" s="10">
        <v>44506</v>
      </c>
      <c r="B31" s="13" t="s">
        <v>52</v>
      </c>
      <c r="C31" s="6" t="s">
        <v>15</v>
      </c>
      <c r="D31" s="11">
        <v>574714</v>
      </c>
    </row>
    <row r="32" spans="1:4" x14ac:dyDescent="0.25">
      <c r="A32" s="10">
        <v>44507</v>
      </c>
      <c r="B32" s="13" t="s">
        <v>53</v>
      </c>
      <c r="C32" s="6" t="s">
        <v>16</v>
      </c>
      <c r="D32" s="11">
        <v>593726</v>
      </c>
    </row>
    <row r="33" spans="1:4" x14ac:dyDescent="0.25">
      <c r="A33" s="10">
        <v>44508</v>
      </c>
      <c r="B33" s="13" t="s">
        <v>54</v>
      </c>
      <c r="C33" s="6" t="s">
        <v>17</v>
      </c>
      <c r="D33" s="11">
        <v>190686</v>
      </c>
    </row>
    <row r="34" spans="1:4" x14ac:dyDescent="0.25">
      <c r="A34" s="10">
        <v>44509</v>
      </c>
      <c r="B34" s="13" t="s">
        <v>55</v>
      </c>
      <c r="C34" s="6" t="s">
        <v>18</v>
      </c>
      <c r="D34" s="11">
        <v>55632</v>
      </c>
    </row>
    <row r="35" spans="1:4" x14ac:dyDescent="0.25">
      <c r="A35" s="10">
        <v>44510</v>
      </c>
      <c r="B35" s="13" t="s">
        <v>56</v>
      </c>
      <c r="C35" s="6" t="s">
        <v>19</v>
      </c>
      <c r="D35" s="11">
        <v>469845</v>
      </c>
    </row>
    <row r="36" spans="1:4" x14ac:dyDescent="0.25">
      <c r="A36" s="10">
        <v>44511</v>
      </c>
      <c r="B36" s="13" t="s">
        <v>57</v>
      </c>
      <c r="C36" s="6" t="s">
        <v>20</v>
      </c>
      <c r="D36" s="11">
        <v>221220</v>
      </c>
    </row>
    <row r="37" spans="1:4" x14ac:dyDescent="0.25">
      <c r="A37" s="10">
        <v>44512</v>
      </c>
      <c r="B37" s="13" t="s">
        <v>58</v>
      </c>
      <c r="C37" s="6" t="s">
        <v>21</v>
      </c>
      <c r="D37" s="11">
        <v>64066</v>
      </c>
    </row>
    <row r="38" spans="1:4" x14ac:dyDescent="0.25">
      <c r="A38" s="10">
        <v>44513</v>
      </c>
      <c r="B38" s="13" t="s">
        <v>59</v>
      </c>
      <c r="C38" s="6" t="s">
        <v>10</v>
      </c>
      <c r="D38" s="11">
        <v>410636</v>
      </c>
    </row>
    <row r="39" spans="1:4" x14ac:dyDescent="0.25">
      <c r="A39" s="10">
        <v>44514</v>
      </c>
      <c r="B39" s="13" t="s">
        <v>60</v>
      </c>
      <c r="C39" s="6" t="s">
        <v>11</v>
      </c>
      <c r="D39" s="11">
        <v>106603</v>
      </c>
    </row>
    <row r="40" spans="1:4" x14ac:dyDescent="0.25">
      <c r="A40" s="10">
        <v>44515</v>
      </c>
      <c r="B40" s="13" t="s">
        <v>61</v>
      </c>
      <c r="C40" s="6" t="s">
        <v>12</v>
      </c>
      <c r="D40" s="11">
        <v>89783</v>
      </c>
    </row>
    <row r="41" spans="1:4" x14ac:dyDescent="0.25">
      <c r="A41" s="10">
        <v>44516</v>
      </c>
      <c r="B41" s="13" t="s">
        <v>62</v>
      </c>
      <c r="C41" s="6" t="s">
        <v>13</v>
      </c>
      <c r="D41" s="11">
        <v>341032</v>
      </c>
    </row>
    <row r="42" spans="1:4" x14ac:dyDescent="0.25">
      <c r="A42" s="10">
        <v>44517</v>
      </c>
      <c r="B42" s="13" t="s">
        <v>63</v>
      </c>
      <c r="C42" s="6" t="s">
        <v>14</v>
      </c>
      <c r="D42" s="11">
        <v>359581</v>
      </c>
    </row>
    <row r="43" spans="1:4" x14ac:dyDescent="0.25">
      <c r="A43" s="10">
        <v>44518</v>
      </c>
      <c r="B43" s="13" t="s">
        <v>64</v>
      </c>
      <c r="C43" s="6" t="s">
        <v>15</v>
      </c>
      <c r="D43" s="11">
        <v>164505</v>
      </c>
    </row>
    <row r="44" spans="1:4" x14ac:dyDescent="0.25">
      <c r="A44" s="10">
        <v>44519</v>
      </c>
      <c r="B44" s="13" t="s">
        <v>65</v>
      </c>
      <c r="C44" s="6" t="s">
        <v>16</v>
      </c>
      <c r="D44" s="11">
        <v>394467</v>
      </c>
    </row>
    <row r="45" spans="1:4" x14ac:dyDescent="0.25">
      <c r="A45" s="10">
        <v>44520</v>
      </c>
      <c r="B45" s="13" t="s">
        <v>66</v>
      </c>
      <c r="C45" s="6" t="s">
        <v>17</v>
      </c>
      <c r="D45" s="11">
        <v>385450</v>
      </c>
    </row>
    <row r="46" spans="1:4" x14ac:dyDescent="0.25">
      <c r="A46" s="10">
        <v>44521</v>
      </c>
      <c r="B46" s="13" t="s">
        <v>67</v>
      </c>
      <c r="C46" s="6" t="s">
        <v>18</v>
      </c>
      <c r="D46" s="11">
        <v>162788</v>
      </c>
    </row>
    <row r="47" spans="1:4" x14ac:dyDescent="0.25">
      <c r="A47" s="10">
        <v>44522</v>
      </c>
      <c r="B47" s="13" t="s">
        <v>68</v>
      </c>
      <c r="C47" s="6" t="s">
        <v>19</v>
      </c>
      <c r="D47" s="11">
        <v>207487</v>
      </c>
    </row>
    <row r="48" spans="1:4" x14ac:dyDescent="0.25">
      <c r="A48" s="10">
        <v>44523</v>
      </c>
      <c r="B48" s="13" t="s">
        <v>69</v>
      </c>
      <c r="C48" s="6" t="s">
        <v>20</v>
      </c>
      <c r="D48" s="11">
        <v>277336</v>
      </c>
    </row>
    <row r="49" spans="1:4" x14ac:dyDescent="0.25">
      <c r="A49" s="10">
        <v>44524</v>
      </c>
      <c r="B49" s="13" t="s">
        <v>70</v>
      </c>
      <c r="C49" s="6" t="s">
        <v>21</v>
      </c>
      <c r="D49" s="11">
        <v>228314</v>
      </c>
    </row>
  </sheetData>
  <sortState xmlns:xlrd2="http://schemas.microsoft.com/office/spreadsheetml/2017/richdata2" ref="F2:G13">
    <sortCondition descending="1" ref="G2:G1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2021-04-11T14:03:18Z</dcterms:created>
  <dcterms:modified xsi:type="dcterms:W3CDTF">2021-04-11T15:24:05Z</dcterms:modified>
</cp:coreProperties>
</file>