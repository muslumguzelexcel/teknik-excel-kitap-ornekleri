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C54FE41E-8E75-46E9-A237-76A9E7AA1F7F}" xr6:coauthVersionLast="46" xr6:coauthVersionMax="46" xr10:uidLastSave="{00000000-0000-0000-0000-000000000000}"/>
  <bookViews>
    <workbookView xWindow="-120" yWindow="-120" windowWidth="24240" windowHeight="13140" xr2:uid="{128882A4-6AAC-4674-BC8E-4F08DF164133}"/>
  </bookViews>
  <sheets>
    <sheet name="Sayfa1" sheetId="1" r:id="rId1"/>
    <sheet name="Sayfa2" sheetId="3" r:id="rId2"/>
    <sheet name="Sayfa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4" l="1" a="1"/>
  <c r="K17" i="4" s="1"/>
  <c r="J13" i="3" a="1"/>
  <c r="J13" i="3" s="1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M13" i="1" a="1"/>
  <c r="M13" i="1" s="1"/>
  <c r="G13" i="1" a="1"/>
  <c r="G1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<sst xmlns="http://schemas.openxmlformats.org/spreadsheetml/2006/main" count="123" uniqueCount="13">
  <si>
    <t>Ürün</t>
  </si>
  <si>
    <t>Renk</t>
  </si>
  <si>
    <t>Adet</t>
  </si>
  <si>
    <t>Satış Fiyat</t>
  </si>
  <si>
    <t>A Ürün</t>
  </si>
  <si>
    <t>Kırmızı</t>
  </si>
  <si>
    <t>B Ürün</t>
  </si>
  <si>
    <t>C Ürün</t>
  </si>
  <si>
    <t>Siyah</t>
  </si>
  <si>
    <t>Mavi</t>
  </si>
  <si>
    <t>Beyaz</t>
  </si>
  <si>
    <t>Tarih</t>
  </si>
  <si>
    <t>Tutar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</si>
</sst>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TL&quot;_-;\-* #,##0.00\ &quot;TL&quot;_-;_-* &quot;-&quot;??\ &quot;TL&quot;_-;_-@_-"/>
    <numFmt numFmtId="43" formatCode="_-* #,##0.00_-;\-* #,##0.00_-;_-* &quot;-&quot;??_-;_-@_-"/>
    <numFmt numFmtId="164" formatCode="_-* #,##0_-;\-* #,##0_-;_-* &quot;-&quot;??_-;_-@_-"/>
    <numFmt numFmtId="165" formatCode="_-* #,##0\ &quot;TL&quot;_-;\-* #,##0\ &quot;TL&quot;_-;_-* &quot;-&quot;??\ &quot;TL&quot;_-;_-@_-"/>
    <numFmt numFmtId="167" formatCode="#,##0\ &quot;TL&quot;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right"/>
    </xf>
    <xf numFmtId="165" fontId="2" fillId="0" borderId="1" xfId="2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14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14" fontId="3" fillId="2" borderId="1" xfId="0" applyNumberFormat="1" applyFont="1" applyFill="1" applyBorder="1" applyAlignment="1">
      <alignment horizontal="center" vertical="center"/>
    </xf>
    <xf numFmtId="167" fontId="0" fillId="0" borderId="0" xfId="0" applyNumberFormat="1"/>
  </cellXfs>
  <cellStyles count="3">
    <cellStyle name="Normal" xfId="0" builtinId="0"/>
    <cellStyle name="ParaBirimi" xfId="2" builtinId="4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69DF-F295-4FB1-A022-77A7FACF864F}">
  <dimension ref="A1:Q17"/>
  <sheetViews>
    <sheetView showGridLines="0" tabSelected="1" workbookViewId="0">
      <selection activeCell="B18" sqref="B18"/>
    </sheetView>
  </sheetViews>
  <sheetFormatPr defaultRowHeight="15" x14ac:dyDescent="0.25"/>
  <cols>
    <col min="1" max="4" width="11.5703125" customWidth="1"/>
    <col min="5" max="5" width="12.28515625" customWidth="1"/>
    <col min="9" max="9" width="10.140625" bestFit="1" customWidth="1"/>
    <col min="11" max="11" width="15.28515625" customWidth="1"/>
    <col min="15" max="15" width="10.140625" bestFit="1" customWidth="1"/>
    <col min="17" max="17" width="15.28515625" customWidth="1"/>
  </cols>
  <sheetData>
    <row r="1" spans="1:17" ht="20.25" customHeight="1" x14ac:dyDescent="0.25">
      <c r="A1" s="1" t="s">
        <v>0</v>
      </c>
      <c r="B1" s="1" t="s">
        <v>1</v>
      </c>
      <c r="C1" s="1" t="s">
        <v>11</v>
      </c>
      <c r="D1" s="2" t="s">
        <v>2</v>
      </c>
      <c r="E1" s="3" t="s">
        <v>3</v>
      </c>
      <c r="G1" s="1" t="s">
        <v>0</v>
      </c>
      <c r="H1" s="1" t="s">
        <v>1</v>
      </c>
      <c r="I1" s="1" t="s">
        <v>11</v>
      </c>
      <c r="J1" s="2" t="s">
        <v>2</v>
      </c>
      <c r="K1" s="3" t="s">
        <v>3</v>
      </c>
      <c r="M1" s="1" t="s">
        <v>0</v>
      </c>
      <c r="N1" s="1" t="s">
        <v>1</v>
      </c>
      <c r="O1" s="1" t="s">
        <v>11</v>
      </c>
      <c r="P1" s="2" t="s">
        <v>2</v>
      </c>
      <c r="Q1" s="3" t="s">
        <v>3</v>
      </c>
    </row>
    <row r="2" spans="1:17" x14ac:dyDescent="0.25">
      <c r="A2" s="7" t="s">
        <v>4</v>
      </c>
      <c r="B2" s="7" t="s">
        <v>5</v>
      </c>
      <c r="C2" s="6">
        <v>44291</v>
      </c>
      <c r="D2" s="4">
        <v>15</v>
      </c>
      <c r="E2" s="5">
        <v>150</v>
      </c>
    </row>
    <row r="3" spans="1:17" x14ac:dyDescent="0.25">
      <c r="A3" s="8" t="s">
        <v>6</v>
      </c>
      <c r="B3" s="7" t="s">
        <v>5</v>
      </c>
      <c r="C3" s="6">
        <v>44298</v>
      </c>
      <c r="D3" s="4">
        <v>4</v>
      </c>
      <c r="E3" s="5">
        <v>190</v>
      </c>
    </row>
    <row r="4" spans="1:17" x14ac:dyDescent="0.25">
      <c r="A4" s="7" t="s">
        <v>4</v>
      </c>
      <c r="B4" s="7" t="s">
        <v>5</v>
      </c>
      <c r="C4" s="6">
        <v>44292</v>
      </c>
      <c r="D4" s="4">
        <v>10</v>
      </c>
      <c r="E4" s="5">
        <v>50</v>
      </c>
    </row>
    <row r="5" spans="1:17" x14ac:dyDescent="0.25">
      <c r="A5" s="8" t="s">
        <v>7</v>
      </c>
      <c r="B5" s="8" t="s">
        <v>9</v>
      </c>
      <c r="C5" s="6">
        <v>44294</v>
      </c>
      <c r="D5" s="4">
        <v>2</v>
      </c>
      <c r="E5" s="5">
        <v>100</v>
      </c>
    </row>
    <row r="6" spans="1:17" x14ac:dyDescent="0.25">
      <c r="A6" s="8" t="s">
        <v>4</v>
      </c>
      <c r="B6" s="8" t="s">
        <v>8</v>
      </c>
      <c r="C6" s="6">
        <v>44300</v>
      </c>
      <c r="D6" s="4">
        <v>45</v>
      </c>
      <c r="E6" s="5">
        <v>130</v>
      </c>
    </row>
    <row r="7" spans="1:17" x14ac:dyDescent="0.25">
      <c r="A7" s="7" t="s">
        <v>4</v>
      </c>
      <c r="B7" s="7" t="s">
        <v>9</v>
      </c>
      <c r="C7" s="6">
        <v>44293</v>
      </c>
      <c r="D7" s="4">
        <v>20</v>
      </c>
      <c r="E7" s="5">
        <v>170</v>
      </c>
    </row>
    <row r="8" spans="1:17" x14ac:dyDescent="0.25">
      <c r="A8" s="8" t="s">
        <v>7</v>
      </c>
      <c r="B8" s="7" t="s">
        <v>9</v>
      </c>
      <c r="C8" s="6">
        <v>44296</v>
      </c>
      <c r="D8" s="4">
        <v>6</v>
      </c>
      <c r="E8" s="5">
        <v>60</v>
      </c>
    </row>
    <row r="9" spans="1:17" x14ac:dyDescent="0.25">
      <c r="A9" s="8" t="s">
        <v>4</v>
      </c>
      <c r="B9" s="7" t="s">
        <v>9</v>
      </c>
      <c r="C9" s="6">
        <v>44297</v>
      </c>
      <c r="D9" s="4">
        <v>23</v>
      </c>
      <c r="E9" s="5">
        <v>180</v>
      </c>
    </row>
    <row r="10" spans="1:17" x14ac:dyDescent="0.25">
      <c r="A10" s="8" t="s">
        <v>6</v>
      </c>
      <c r="B10" s="7" t="s">
        <v>5</v>
      </c>
      <c r="C10" s="6">
        <v>44295</v>
      </c>
      <c r="D10" s="4">
        <v>40</v>
      </c>
      <c r="E10" s="5">
        <v>210</v>
      </c>
    </row>
    <row r="11" spans="1:17" x14ac:dyDescent="0.25">
      <c r="A11" s="8" t="s">
        <v>6</v>
      </c>
      <c r="B11" s="7" t="s">
        <v>10</v>
      </c>
      <c r="C11" s="6">
        <v>44299</v>
      </c>
      <c r="D11" s="4">
        <v>20</v>
      </c>
      <c r="E11" s="5">
        <v>210</v>
      </c>
    </row>
    <row r="13" spans="1:17" x14ac:dyDescent="0.25">
      <c r="G13" t="str" cm="1">
        <f t="array" ref="G13:K17">_xlfn._xlws.FILTER(A1:E11,A1:A11="A Ürün")</f>
        <v>A Ürün</v>
      </c>
      <c r="H13" t="str">
        <v>Kırmızı</v>
      </c>
      <c r="I13" s="9">
        <v>44291</v>
      </c>
      <c r="J13">
        <v>15</v>
      </c>
      <c r="K13">
        <v>150</v>
      </c>
      <c r="M13" t="str" cm="1">
        <f t="array" ref="M13:Q14">_xlfn._xlws.FILTER(A1:E11,(A1:A11="A Ürün")*(D1:D11&gt;20))</f>
        <v>A Ürün</v>
      </c>
      <c r="N13" t="str">
        <v>Siyah</v>
      </c>
      <c r="O13" s="9">
        <v>44300</v>
      </c>
      <c r="P13">
        <v>45</v>
      </c>
      <c r="Q13">
        <v>130</v>
      </c>
    </row>
    <row r="14" spans="1:17" x14ac:dyDescent="0.25">
      <c r="G14" t="str">
        <v>A Ürün</v>
      </c>
      <c r="H14" t="str">
        <v>Kırmızı</v>
      </c>
      <c r="I14" s="9">
        <v>44292</v>
      </c>
      <c r="J14">
        <v>10</v>
      </c>
      <c r="K14">
        <v>50</v>
      </c>
      <c r="M14" t="str">
        <v>A Ürün</v>
      </c>
      <c r="N14" t="str">
        <v>Mavi</v>
      </c>
      <c r="O14" s="9">
        <v>44297</v>
      </c>
      <c r="P14">
        <v>23</v>
      </c>
      <c r="Q14">
        <v>180</v>
      </c>
    </row>
    <row r="15" spans="1:17" x14ac:dyDescent="0.25">
      <c r="G15" t="str">
        <v>A Ürün</v>
      </c>
      <c r="H15" t="str">
        <v>Siyah</v>
      </c>
      <c r="I15" s="9">
        <v>44300</v>
      </c>
      <c r="J15">
        <v>45</v>
      </c>
      <c r="K15">
        <v>130</v>
      </c>
    </row>
    <row r="16" spans="1:17" x14ac:dyDescent="0.25">
      <c r="G16" t="str">
        <v>A Ürün</v>
      </c>
      <c r="H16" t="str">
        <v>Mavi</v>
      </c>
      <c r="I16" s="9">
        <v>44293</v>
      </c>
      <c r="J16">
        <v>20</v>
      </c>
      <c r="K16">
        <v>170</v>
      </c>
    </row>
    <row r="17" spans="7:11" x14ac:dyDescent="0.25">
      <c r="G17" t="str">
        <v>A Ürün</v>
      </c>
      <c r="H17" t="str">
        <v>Mavi</v>
      </c>
      <c r="I17" s="9">
        <v>44297</v>
      </c>
      <c r="J17">
        <v>23</v>
      </c>
      <c r="K17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B39E-DAE5-4FE5-9F99-5FD726C78504}">
  <dimension ref="A1:N17"/>
  <sheetViews>
    <sheetView showGridLines="0" workbookViewId="0">
      <selection activeCell="J2" sqref="J2:N5"/>
    </sheetView>
  </sheetViews>
  <sheetFormatPr defaultRowHeight="15" x14ac:dyDescent="0.25"/>
  <cols>
    <col min="1" max="1" width="10.140625" customWidth="1"/>
    <col min="2" max="2" width="9.42578125" customWidth="1"/>
    <col min="3" max="3" width="11.5703125" customWidth="1"/>
    <col min="4" max="4" width="9.140625" customWidth="1"/>
    <col min="5" max="5" width="12.28515625" customWidth="1"/>
    <col min="6" max="6" width="3.5703125" customWidth="1"/>
    <col min="10" max="10" width="11" customWidth="1"/>
    <col min="12" max="12" width="10.140625" bestFit="1" customWidth="1"/>
    <col min="14" max="14" width="15.28515625" customWidth="1"/>
  </cols>
  <sheetData>
    <row r="1" spans="1:14" ht="20.25" customHeight="1" x14ac:dyDescent="0.25">
      <c r="A1" s="1" t="s">
        <v>0</v>
      </c>
      <c r="B1" s="1" t="s">
        <v>1</v>
      </c>
      <c r="C1" s="1" t="s">
        <v>11</v>
      </c>
      <c r="D1" s="2" t="s">
        <v>2</v>
      </c>
      <c r="E1" s="3" t="s">
        <v>3</v>
      </c>
      <c r="G1" s="10" t="s">
        <v>0</v>
      </c>
      <c r="H1" s="10" t="s">
        <v>2</v>
      </c>
      <c r="J1" s="1" t="s">
        <v>0</v>
      </c>
      <c r="K1" s="1" t="s">
        <v>1</v>
      </c>
      <c r="L1" s="1" t="s">
        <v>11</v>
      </c>
      <c r="M1" s="2" t="s">
        <v>2</v>
      </c>
      <c r="N1" s="3" t="s">
        <v>3</v>
      </c>
    </row>
    <row r="2" spans="1:14" x14ac:dyDescent="0.25">
      <c r="A2" s="7" t="s">
        <v>4</v>
      </c>
      <c r="B2" s="7" t="s">
        <v>5</v>
      </c>
      <c r="C2" s="6">
        <v>44291</v>
      </c>
      <c r="D2" s="4">
        <v>15</v>
      </c>
      <c r="E2" s="5">
        <v>150</v>
      </c>
      <c r="G2" s="7" t="s">
        <v>4</v>
      </c>
      <c r="H2" s="11">
        <v>10</v>
      </c>
    </row>
    <row r="3" spans="1:14" x14ac:dyDescent="0.25">
      <c r="A3" s="8" t="s">
        <v>6</v>
      </c>
      <c r="B3" s="7" t="s">
        <v>5</v>
      </c>
      <c r="C3" s="6">
        <v>44298</v>
      </c>
      <c r="D3" s="4">
        <v>4</v>
      </c>
      <c r="E3" s="5">
        <v>190</v>
      </c>
    </row>
    <row r="4" spans="1:14" x14ac:dyDescent="0.25">
      <c r="A4" s="7" t="s">
        <v>4</v>
      </c>
      <c r="B4" s="7" t="s">
        <v>5</v>
      </c>
      <c r="C4" s="6">
        <v>44292</v>
      </c>
      <c r="D4" s="4">
        <v>10</v>
      </c>
      <c r="E4" s="5">
        <v>50</v>
      </c>
    </row>
    <row r="5" spans="1:14" x14ac:dyDescent="0.25">
      <c r="A5" s="8" t="s">
        <v>7</v>
      </c>
      <c r="B5" s="8" t="s">
        <v>9</v>
      </c>
      <c r="C5" s="6">
        <v>44294</v>
      </c>
      <c r="D5" s="4">
        <v>2</v>
      </c>
      <c r="E5" s="5">
        <v>100</v>
      </c>
    </row>
    <row r="6" spans="1:14" x14ac:dyDescent="0.25">
      <c r="A6" s="8" t="s">
        <v>4</v>
      </c>
      <c r="B6" s="8" t="s">
        <v>8</v>
      </c>
      <c r="C6" s="6">
        <v>44300</v>
      </c>
      <c r="D6" s="4">
        <v>45</v>
      </c>
      <c r="E6" s="5">
        <v>130</v>
      </c>
    </row>
    <row r="7" spans="1:14" x14ac:dyDescent="0.25">
      <c r="A7" s="7" t="s">
        <v>4</v>
      </c>
      <c r="B7" s="7" t="s">
        <v>9</v>
      </c>
      <c r="C7" s="6">
        <v>44293</v>
      </c>
      <c r="D7" s="4">
        <v>20</v>
      </c>
      <c r="E7" s="5">
        <v>170</v>
      </c>
    </row>
    <row r="8" spans="1:14" x14ac:dyDescent="0.25">
      <c r="A8" s="8" t="s">
        <v>7</v>
      </c>
      <c r="B8" s="7" t="s">
        <v>9</v>
      </c>
      <c r="C8" s="6">
        <v>44296</v>
      </c>
      <c r="D8" s="4">
        <v>6</v>
      </c>
      <c r="E8" s="5">
        <v>60</v>
      </c>
    </row>
    <row r="9" spans="1:14" x14ac:dyDescent="0.25">
      <c r="A9" s="8" t="s">
        <v>4</v>
      </c>
      <c r="B9" s="7" t="s">
        <v>9</v>
      </c>
      <c r="C9" s="6">
        <v>44297</v>
      </c>
      <c r="D9" s="4">
        <v>23</v>
      </c>
      <c r="E9" s="5">
        <v>180</v>
      </c>
    </row>
    <row r="10" spans="1:14" x14ac:dyDescent="0.25">
      <c r="A10" s="8" t="s">
        <v>6</v>
      </c>
      <c r="B10" s="7" t="s">
        <v>5</v>
      </c>
      <c r="C10" s="6">
        <v>44295</v>
      </c>
      <c r="D10" s="4">
        <v>40</v>
      </c>
      <c r="E10" s="5">
        <v>210</v>
      </c>
    </row>
    <row r="11" spans="1:14" x14ac:dyDescent="0.25">
      <c r="A11" s="8" t="s">
        <v>6</v>
      </c>
      <c r="B11" s="7" t="s">
        <v>10</v>
      </c>
      <c r="C11" s="6">
        <v>44299</v>
      </c>
      <c r="D11" s="4">
        <v>20</v>
      </c>
      <c r="E11" s="5">
        <v>210</v>
      </c>
    </row>
    <row r="13" spans="1:14" x14ac:dyDescent="0.25">
      <c r="J13" t="str" cm="1">
        <f t="array" ref="J13:N16">_xlfn._xlws.FILTER(A1:E11,(A1:A11= G2)*(D1:D11&gt;H2),"Kriterlere uygun veri bulunamamıştır.")</f>
        <v>A Ürün</v>
      </c>
      <c r="K13" t="str">
        <v>Kırmızı</v>
      </c>
      <c r="L13" s="9">
        <v>44291</v>
      </c>
      <c r="M13">
        <v>15</v>
      </c>
      <c r="N13">
        <v>150</v>
      </c>
    </row>
    <row r="14" spans="1:14" x14ac:dyDescent="0.25">
      <c r="J14" t="str">
        <v>A Ürün</v>
      </c>
      <c r="K14" t="str">
        <v>Siyah</v>
      </c>
      <c r="L14" s="9">
        <v>44300</v>
      </c>
      <c r="M14">
        <v>45</v>
      </c>
      <c r="N14">
        <v>130</v>
      </c>
    </row>
    <row r="15" spans="1:14" x14ac:dyDescent="0.25">
      <c r="J15" t="str">
        <v>A Ürün</v>
      </c>
      <c r="K15" t="str">
        <v>Mavi</v>
      </c>
      <c r="L15" s="9">
        <v>44293</v>
      </c>
      <c r="M15">
        <v>20</v>
      </c>
      <c r="N15">
        <v>170</v>
      </c>
    </row>
    <row r="16" spans="1:14" x14ac:dyDescent="0.25">
      <c r="J16" t="str">
        <v>A Ürün</v>
      </c>
      <c r="K16" t="str">
        <v>Mavi</v>
      </c>
      <c r="L16" s="9">
        <v>44297</v>
      </c>
      <c r="M16">
        <v>23</v>
      </c>
      <c r="N16">
        <v>180</v>
      </c>
    </row>
    <row r="17" spans="12:12" x14ac:dyDescent="0.25">
      <c r="L17" s="9"/>
    </row>
  </sheetData>
  <dataValidations count="1">
    <dataValidation type="list" allowBlank="1" showInputMessage="1" showErrorMessage="1" sqref="G2" xr:uid="{8E7B8582-8B53-49FC-81FE-173A28A27E15}">
      <formula1>"A Ürün,B Ürün,C Ürün"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16438-3483-4A01-B8B2-070AA4A149AA}">
  <dimension ref="A1:P23"/>
  <sheetViews>
    <sheetView showGridLines="0" workbookViewId="0">
      <selection activeCell="K2" sqref="K2"/>
    </sheetView>
  </sheetViews>
  <sheetFormatPr defaultRowHeight="15" x14ac:dyDescent="0.25"/>
  <cols>
    <col min="1" max="1" width="10.140625" customWidth="1"/>
    <col min="2" max="2" width="9.42578125" customWidth="1"/>
    <col min="3" max="3" width="11.5703125" customWidth="1"/>
    <col min="4" max="4" width="9.140625" customWidth="1"/>
    <col min="5" max="6" width="12.28515625" customWidth="1"/>
    <col min="7" max="7" width="3.5703125" customWidth="1"/>
    <col min="11" max="11" width="11" customWidth="1"/>
    <col min="13" max="13" width="11.7109375" style="9" customWidth="1"/>
    <col min="15" max="15" width="15.28515625" customWidth="1"/>
  </cols>
  <sheetData>
    <row r="1" spans="1:16" ht="20.25" customHeight="1" x14ac:dyDescent="0.25">
      <c r="A1" s="1" t="s">
        <v>0</v>
      </c>
      <c r="B1" s="1" t="s">
        <v>1</v>
      </c>
      <c r="C1" s="1" t="s">
        <v>11</v>
      </c>
      <c r="D1" s="2" t="s">
        <v>2</v>
      </c>
      <c r="E1" s="3" t="s">
        <v>3</v>
      </c>
      <c r="F1" s="3" t="s">
        <v>12</v>
      </c>
      <c r="H1" s="10" t="s">
        <v>0</v>
      </c>
      <c r="I1" s="10" t="s">
        <v>2</v>
      </c>
      <c r="K1" s="1" t="s">
        <v>0</v>
      </c>
      <c r="L1" s="1" t="s">
        <v>1</v>
      </c>
      <c r="M1" s="12" t="s">
        <v>11</v>
      </c>
      <c r="N1" s="2" t="s">
        <v>2</v>
      </c>
      <c r="O1" s="3" t="s">
        <v>3</v>
      </c>
      <c r="P1" s="3" t="s">
        <v>12</v>
      </c>
    </row>
    <row r="2" spans="1:16" x14ac:dyDescent="0.25">
      <c r="A2" s="7" t="s">
        <v>4</v>
      </c>
      <c r="B2" s="7" t="s">
        <v>5</v>
      </c>
      <c r="C2" s="6">
        <v>44291</v>
      </c>
      <c r="D2" s="4">
        <v>15</v>
      </c>
      <c r="E2" s="5">
        <v>150</v>
      </c>
      <c r="F2" s="5">
        <f>D2*E2</f>
        <v>2250</v>
      </c>
      <c r="H2" s="7" t="s">
        <v>4</v>
      </c>
      <c r="I2" s="11">
        <v>10</v>
      </c>
      <c r="O2" s="13"/>
      <c r="P2" s="13"/>
    </row>
    <row r="3" spans="1:16" x14ac:dyDescent="0.25">
      <c r="A3" s="8" t="s">
        <v>6</v>
      </c>
      <c r="B3" s="7" t="s">
        <v>5</v>
      </c>
      <c r="C3" s="6">
        <v>44298</v>
      </c>
      <c r="D3" s="4">
        <v>4</v>
      </c>
      <c r="E3" s="5">
        <v>190</v>
      </c>
      <c r="F3" s="5">
        <f t="shared" ref="F3:F21" si="0">D3*E3</f>
        <v>760</v>
      </c>
      <c r="O3" s="13"/>
      <c r="P3" s="13"/>
    </row>
    <row r="4" spans="1:16" x14ac:dyDescent="0.25">
      <c r="A4" s="7" t="s">
        <v>4</v>
      </c>
      <c r="B4" s="7" t="s">
        <v>5</v>
      </c>
      <c r="C4" s="6">
        <v>44292</v>
      </c>
      <c r="D4" s="4">
        <v>10</v>
      </c>
      <c r="E4" s="5">
        <v>50</v>
      </c>
      <c r="F4" s="5">
        <f t="shared" si="0"/>
        <v>500</v>
      </c>
      <c r="O4" s="13"/>
      <c r="P4" s="13"/>
    </row>
    <row r="5" spans="1:16" x14ac:dyDescent="0.25">
      <c r="A5" s="8" t="s">
        <v>7</v>
      </c>
      <c r="B5" s="8" t="s">
        <v>9</v>
      </c>
      <c r="C5" s="6">
        <v>44294</v>
      </c>
      <c r="D5" s="4">
        <v>2</v>
      </c>
      <c r="E5" s="5">
        <v>100</v>
      </c>
      <c r="F5" s="5">
        <f t="shared" si="0"/>
        <v>200</v>
      </c>
      <c r="O5" s="13"/>
      <c r="P5" s="13"/>
    </row>
    <row r="6" spans="1:16" x14ac:dyDescent="0.25">
      <c r="A6" s="8" t="s">
        <v>4</v>
      </c>
      <c r="B6" s="8" t="s">
        <v>8</v>
      </c>
      <c r="C6" s="6">
        <v>44300</v>
      </c>
      <c r="D6" s="4">
        <v>45</v>
      </c>
      <c r="E6" s="5">
        <v>130</v>
      </c>
      <c r="F6" s="5">
        <f t="shared" si="0"/>
        <v>5850</v>
      </c>
      <c r="O6" s="13"/>
      <c r="P6" s="13"/>
    </row>
    <row r="7" spans="1:16" x14ac:dyDescent="0.25">
      <c r="A7" s="7" t="s">
        <v>4</v>
      </c>
      <c r="B7" s="7" t="s">
        <v>9</v>
      </c>
      <c r="C7" s="6">
        <v>44293</v>
      </c>
      <c r="D7" s="4">
        <v>20</v>
      </c>
      <c r="E7" s="5">
        <v>170</v>
      </c>
      <c r="F7" s="5">
        <f t="shared" si="0"/>
        <v>3400</v>
      </c>
      <c r="O7" s="13"/>
      <c r="P7" s="13"/>
    </row>
    <row r="8" spans="1:16" x14ac:dyDescent="0.25">
      <c r="A8" s="8" t="s">
        <v>7</v>
      </c>
      <c r="B8" s="7" t="s">
        <v>9</v>
      </c>
      <c r="C8" s="6">
        <v>44296</v>
      </c>
      <c r="D8" s="4">
        <v>6</v>
      </c>
      <c r="E8" s="5">
        <v>60</v>
      </c>
      <c r="F8" s="5">
        <f t="shared" si="0"/>
        <v>360</v>
      </c>
      <c r="O8" s="13"/>
      <c r="P8" s="13"/>
    </row>
    <row r="9" spans="1:16" x14ac:dyDescent="0.25">
      <c r="A9" s="8" t="s">
        <v>4</v>
      </c>
      <c r="B9" s="7" t="s">
        <v>9</v>
      </c>
      <c r="C9" s="6">
        <v>44297</v>
      </c>
      <c r="D9" s="4">
        <v>23</v>
      </c>
      <c r="E9" s="5">
        <v>180</v>
      </c>
      <c r="F9" s="5">
        <f t="shared" si="0"/>
        <v>4140</v>
      </c>
      <c r="O9" s="13"/>
      <c r="P9" s="13"/>
    </row>
    <row r="10" spans="1:16" x14ac:dyDescent="0.25">
      <c r="A10" s="8" t="s">
        <v>6</v>
      </c>
      <c r="B10" s="7" t="s">
        <v>5</v>
      </c>
      <c r="C10" s="6">
        <v>44295</v>
      </c>
      <c r="D10" s="4">
        <v>40</v>
      </c>
      <c r="E10" s="5">
        <v>210</v>
      </c>
      <c r="F10" s="5">
        <f t="shared" si="0"/>
        <v>8400</v>
      </c>
      <c r="O10" s="13"/>
      <c r="P10" s="13"/>
    </row>
    <row r="11" spans="1:16" x14ac:dyDescent="0.25">
      <c r="A11" s="8" t="s">
        <v>6</v>
      </c>
      <c r="B11" s="7" t="s">
        <v>10</v>
      </c>
      <c r="C11" s="6">
        <v>44299</v>
      </c>
      <c r="D11" s="4">
        <v>20</v>
      </c>
      <c r="E11" s="5">
        <v>210</v>
      </c>
      <c r="F11" s="5">
        <f t="shared" si="0"/>
        <v>4200</v>
      </c>
      <c r="O11" s="13"/>
      <c r="P11" s="13"/>
    </row>
    <row r="12" spans="1:16" x14ac:dyDescent="0.25">
      <c r="A12" s="7" t="s">
        <v>4</v>
      </c>
      <c r="B12" s="7" t="s">
        <v>5</v>
      </c>
      <c r="C12" s="6">
        <v>44291</v>
      </c>
      <c r="D12" s="4">
        <v>8</v>
      </c>
      <c r="E12" s="5">
        <v>150</v>
      </c>
      <c r="F12" s="5">
        <f t="shared" si="0"/>
        <v>1200</v>
      </c>
      <c r="O12" s="13"/>
      <c r="P12" s="13"/>
    </row>
    <row r="13" spans="1:16" x14ac:dyDescent="0.25">
      <c r="A13" s="8" t="s">
        <v>6</v>
      </c>
      <c r="B13" s="7" t="s">
        <v>5</v>
      </c>
      <c r="C13" s="6">
        <v>44298</v>
      </c>
      <c r="D13" s="4">
        <v>32</v>
      </c>
      <c r="E13" s="5">
        <v>190</v>
      </c>
      <c r="F13" s="5">
        <f t="shared" si="0"/>
        <v>6080</v>
      </c>
      <c r="O13" s="13"/>
      <c r="P13" s="13"/>
    </row>
    <row r="14" spans="1:16" x14ac:dyDescent="0.25">
      <c r="A14" s="7" t="s">
        <v>4</v>
      </c>
      <c r="B14" s="7" t="s">
        <v>5</v>
      </c>
      <c r="C14" s="6">
        <v>44312</v>
      </c>
      <c r="D14" s="4">
        <v>35</v>
      </c>
      <c r="E14" s="5">
        <v>50</v>
      </c>
      <c r="F14" s="5">
        <f t="shared" si="0"/>
        <v>1750</v>
      </c>
      <c r="O14" s="13"/>
      <c r="P14" s="13"/>
    </row>
    <row r="15" spans="1:16" x14ac:dyDescent="0.25">
      <c r="A15" s="8" t="s">
        <v>7</v>
      </c>
      <c r="B15" s="8" t="s">
        <v>9</v>
      </c>
      <c r="C15" s="6">
        <v>44314</v>
      </c>
      <c r="D15" s="4">
        <v>44</v>
      </c>
      <c r="E15" s="5">
        <v>100</v>
      </c>
      <c r="F15" s="5">
        <f t="shared" si="0"/>
        <v>4400</v>
      </c>
      <c r="O15" s="13"/>
      <c r="P15" s="13"/>
    </row>
    <row r="16" spans="1:16" x14ac:dyDescent="0.25">
      <c r="A16" s="8" t="s">
        <v>4</v>
      </c>
      <c r="B16" s="8" t="s">
        <v>8</v>
      </c>
      <c r="C16" s="6">
        <v>44300</v>
      </c>
      <c r="D16" s="4">
        <v>75</v>
      </c>
      <c r="E16" s="5">
        <v>130</v>
      </c>
      <c r="F16" s="5">
        <f t="shared" si="0"/>
        <v>9750</v>
      </c>
    </row>
    <row r="17" spans="1:16" x14ac:dyDescent="0.25">
      <c r="A17" s="7" t="s">
        <v>4</v>
      </c>
      <c r="B17" s="7" t="s">
        <v>9</v>
      </c>
      <c r="C17" s="6">
        <v>44313</v>
      </c>
      <c r="D17" s="4">
        <v>5</v>
      </c>
      <c r="E17" s="5">
        <v>170</v>
      </c>
      <c r="F17" s="5">
        <f t="shared" si="0"/>
        <v>850</v>
      </c>
      <c r="K17" t="str" cm="1">
        <f t="array" ref="K17:P23">_xlfn._xlws.SORT(_xlfn._xlws.FILTER(A1:F21,(A1:A21= H2)*(D1:D21&gt;I2),"Kriterlere uygun veri bulunamamıştır."),6,-1)</f>
        <v>A Ürün</v>
      </c>
      <c r="L17" t="str">
        <v>Mavi</v>
      </c>
      <c r="M17" s="9">
        <v>44307</v>
      </c>
      <c r="N17">
        <v>100</v>
      </c>
      <c r="O17">
        <v>180</v>
      </c>
      <c r="P17">
        <v>18000</v>
      </c>
    </row>
    <row r="18" spans="1:16" x14ac:dyDescent="0.25">
      <c r="A18" s="8" t="s">
        <v>7</v>
      </c>
      <c r="B18" s="7" t="s">
        <v>9</v>
      </c>
      <c r="C18" s="6">
        <v>44303</v>
      </c>
      <c r="D18" s="4">
        <v>12</v>
      </c>
      <c r="E18" s="5">
        <v>60</v>
      </c>
      <c r="F18" s="5">
        <f t="shared" si="0"/>
        <v>720</v>
      </c>
      <c r="K18" t="str">
        <v>A Ürün</v>
      </c>
      <c r="L18" t="str">
        <v>Siyah</v>
      </c>
      <c r="M18" s="9">
        <v>44300</v>
      </c>
      <c r="N18">
        <v>75</v>
      </c>
      <c r="O18">
        <v>130</v>
      </c>
      <c r="P18">
        <v>9750</v>
      </c>
    </row>
    <row r="19" spans="1:16" x14ac:dyDescent="0.25">
      <c r="A19" s="8" t="s">
        <v>4</v>
      </c>
      <c r="B19" s="7" t="s">
        <v>9</v>
      </c>
      <c r="C19" s="6">
        <v>44307</v>
      </c>
      <c r="D19" s="4">
        <v>100</v>
      </c>
      <c r="E19" s="5">
        <v>180</v>
      </c>
      <c r="F19" s="5">
        <f t="shared" si="0"/>
        <v>18000</v>
      </c>
      <c r="K19" t="str">
        <v>A Ürün</v>
      </c>
      <c r="L19" t="str">
        <v>Siyah</v>
      </c>
      <c r="M19" s="9">
        <v>44300</v>
      </c>
      <c r="N19">
        <v>45</v>
      </c>
      <c r="O19">
        <v>130</v>
      </c>
      <c r="P19">
        <v>5850</v>
      </c>
    </row>
    <row r="20" spans="1:16" x14ac:dyDescent="0.25">
      <c r="A20" s="8" t="s">
        <v>6</v>
      </c>
      <c r="B20" s="7" t="s">
        <v>5</v>
      </c>
      <c r="C20" s="6">
        <v>44305</v>
      </c>
      <c r="D20" s="4">
        <v>100</v>
      </c>
      <c r="E20" s="5">
        <v>210</v>
      </c>
      <c r="F20" s="5">
        <f t="shared" si="0"/>
        <v>21000</v>
      </c>
      <c r="K20" t="str">
        <v>A Ürün</v>
      </c>
      <c r="L20" t="str">
        <v>Mavi</v>
      </c>
      <c r="M20" s="9">
        <v>44297</v>
      </c>
      <c r="N20">
        <v>23</v>
      </c>
      <c r="O20">
        <v>180</v>
      </c>
      <c r="P20">
        <v>4140</v>
      </c>
    </row>
    <row r="21" spans="1:16" x14ac:dyDescent="0.25">
      <c r="A21" s="8" t="s">
        <v>6</v>
      </c>
      <c r="B21" s="7" t="s">
        <v>10</v>
      </c>
      <c r="C21" s="6">
        <v>44309</v>
      </c>
      <c r="D21" s="4">
        <v>33</v>
      </c>
      <c r="E21" s="5">
        <v>210</v>
      </c>
      <c r="F21" s="5">
        <f t="shared" si="0"/>
        <v>6930</v>
      </c>
      <c r="K21" t="str">
        <v>A Ürün</v>
      </c>
      <c r="L21" t="str">
        <v>Mavi</v>
      </c>
      <c r="M21" s="9">
        <v>44293</v>
      </c>
      <c r="N21">
        <v>20</v>
      </c>
      <c r="O21">
        <v>170</v>
      </c>
      <c r="P21">
        <v>3400</v>
      </c>
    </row>
    <row r="22" spans="1:16" x14ac:dyDescent="0.25">
      <c r="K22" t="str">
        <v>A Ürün</v>
      </c>
      <c r="L22" t="str">
        <v>Kırmızı</v>
      </c>
      <c r="M22" s="9">
        <v>44291</v>
      </c>
      <c r="N22">
        <v>15</v>
      </c>
      <c r="O22">
        <v>150</v>
      </c>
      <c r="P22">
        <v>2250</v>
      </c>
    </row>
    <row r="23" spans="1:16" x14ac:dyDescent="0.25">
      <c r="K23" t="str">
        <v>A Ürün</v>
      </c>
      <c r="L23" t="str">
        <v>Kırmızı</v>
      </c>
      <c r="M23" s="9">
        <v>44312</v>
      </c>
      <c r="N23">
        <v>35</v>
      </c>
      <c r="O23">
        <v>50</v>
      </c>
      <c r="P23">
        <v>1750</v>
      </c>
    </row>
  </sheetData>
  <dataValidations count="1">
    <dataValidation type="list" allowBlank="1" showInputMessage="1" showErrorMessage="1" sqref="H2" xr:uid="{1CD17DEE-5401-4A31-805A-A340415ECF81}">
      <formula1>"A Ürün,B Ürün,C Ürün"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2021-04-04T19:53:08Z</dcterms:created>
  <dcterms:modified xsi:type="dcterms:W3CDTF">2021-04-05T16:37:53Z</dcterms:modified>
</cp:coreProperties>
</file>