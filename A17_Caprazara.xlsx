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37BA5DCB-9D68-4129-977B-3A84F1EBBDC6}" xr6:coauthVersionLast="46" xr6:coauthVersionMax="46" xr10:uidLastSave="{00000000-0000-0000-0000-000000000000}"/>
  <bookViews>
    <workbookView xWindow="-120" yWindow="-120" windowWidth="24240" windowHeight="13140" xr2:uid="{11D19AA4-563E-45F9-943B-615E28D2999A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2" i="1"/>
</calcChain>
</file>

<file path=xl/sharedStrings.xml><?xml version="1.0" encoding="utf-8"?>
<sst xmlns="http://schemas.openxmlformats.org/spreadsheetml/2006/main" count="68" uniqueCount="39">
  <si>
    <t>Ürün</t>
  </si>
  <si>
    <t>Stok</t>
  </si>
  <si>
    <t>Ürün Kodu</t>
  </si>
  <si>
    <t>Depo</t>
  </si>
  <si>
    <t>Raf</t>
  </si>
  <si>
    <t>Stok Miktarı</t>
  </si>
  <si>
    <t>Yarı Mamüller</t>
  </si>
  <si>
    <t>U101</t>
  </si>
  <si>
    <t>U102</t>
  </si>
  <si>
    <t>U103</t>
  </si>
  <si>
    <t>U104</t>
  </si>
  <si>
    <t>U105</t>
  </si>
  <si>
    <t>U106</t>
  </si>
  <si>
    <t>YM901</t>
  </si>
  <si>
    <t>YM902</t>
  </si>
  <si>
    <t>YM903</t>
  </si>
  <si>
    <t>YM904</t>
  </si>
  <si>
    <t>YM905</t>
  </si>
  <si>
    <t>YM906</t>
  </si>
  <si>
    <t>Tüm Stoklar</t>
  </si>
  <si>
    <t>B Ürünü</t>
  </si>
  <si>
    <t>A Ürünü</t>
  </si>
  <si>
    <t>C Ürünü</t>
  </si>
  <si>
    <t>D Ürünü</t>
  </si>
  <si>
    <t>G Ürünü</t>
  </si>
  <si>
    <t>F Ürünü</t>
  </si>
  <si>
    <t>E Ürünü</t>
  </si>
  <si>
    <t>U107</t>
  </si>
  <si>
    <t>İade</t>
  </si>
  <si>
    <t>Ana Depo</t>
  </si>
  <si>
    <t>AB Ürün</t>
  </si>
  <si>
    <t>BB Ürün</t>
  </si>
  <si>
    <t>BC Ürün</t>
  </si>
  <si>
    <t>BD Ürün</t>
  </si>
  <si>
    <t>AD Ürün</t>
  </si>
  <si>
    <t>AF Ürün</t>
  </si>
  <si>
    <t>YM İade</t>
  </si>
  <si>
    <t>YM Ana Depo</t>
  </si>
  <si>
    <t>Mamüller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</si>
</sst>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0" xfId="0" applyFont="1" applyAlignment="1">
      <alignment horizontal="centerContinuous"/>
    </xf>
    <xf numFmtId="0" fontId="1" fillId="4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924C-C1C7-47CD-9CC3-4ED69E2C5457}">
  <dimension ref="B1:P13"/>
  <sheetViews>
    <sheetView showGridLines="0" tabSelected="1" workbookViewId="0">
      <selection activeCell="C16" sqref="C16"/>
    </sheetView>
  </sheetViews>
  <sheetFormatPr defaultRowHeight="15" x14ac:dyDescent="0.25"/>
  <cols>
    <col min="1" max="1" width="3.140625" customWidth="1"/>
    <col min="2" max="2" width="13.85546875" customWidth="1"/>
    <col min="3" max="3" width="15.85546875" bestFit="1" customWidth="1"/>
    <col min="4" max="4" width="12.5703125" customWidth="1"/>
    <col min="5" max="5" width="6.140625" customWidth="1"/>
    <col min="6" max="6" width="11.28515625" customWidth="1"/>
    <col min="7" max="7" width="10.28515625" bestFit="1" customWidth="1"/>
    <col min="8" max="8" width="11.28515625" customWidth="1"/>
    <col min="10" max="10" width="11.42578125" bestFit="1" customWidth="1"/>
    <col min="12" max="12" width="12" customWidth="1"/>
    <col min="13" max="13" width="10.28515625" bestFit="1" customWidth="1"/>
    <col min="14" max="14" width="12.7109375" bestFit="1" customWidth="1"/>
    <col min="16" max="16" width="11.42578125" bestFit="1" customWidth="1"/>
  </cols>
  <sheetData>
    <row r="1" spans="2:16" x14ac:dyDescent="0.25">
      <c r="F1" s="6" t="s">
        <v>38</v>
      </c>
      <c r="G1" s="6"/>
      <c r="H1" s="6"/>
      <c r="I1" s="6"/>
      <c r="J1" s="6"/>
      <c r="L1" s="6" t="s">
        <v>6</v>
      </c>
      <c r="M1" s="6"/>
      <c r="N1" s="6"/>
      <c r="O1" s="6"/>
      <c r="P1" s="6"/>
    </row>
    <row r="2" spans="2:16" x14ac:dyDescent="0.25">
      <c r="B2" s="3" t="s">
        <v>2</v>
      </c>
      <c r="C2" s="3" t="s">
        <v>0</v>
      </c>
      <c r="D2" s="3" t="s">
        <v>1</v>
      </c>
      <c r="F2" s="4" t="s">
        <v>0</v>
      </c>
      <c r="G2" s="4" t="s">
        <v>2</v>
      </c>
      <c r="H2" s="4" t="s">
        <v>3</v>
      </c>
      <c r="I2" s="8" t="s">
        <v>4</v>
      </c>
      <c r="J2" s="4" t="s">
        <v>5</v>
      </c>
      <c r="L2" s="5" t="s">
        <v>0</v>
      </c>
      <c r="M2" s="5" t="s">
        <v>2</v>
      </c>
      <c r="N2" s="5" t="s">
        <v>3</v>
      </c>
      <c r="O2" s="10" t="s">
        <v>4</v>
      </c>
      <c r="P2" s="5" t="s">
        <v>5</v>
      </c>
    </row>
    <row r="3" spans="2:16" x14ac:dyDescent="0.25">
      <c r="B3" s="1" t="s">
        <v>16</v>
      </c>
      <c r="C3" s="12"/>
      <c r="D3" s="1"/>
      <c r="F3" s="2" t="s">
        <v>20</v>
      </c>
      <c r="G3" s="2" t="s">
        <v>7</v>
      </c>
      <c r="H3" s="11" t="s">
        <v>28</v>
      </c>
      <c r="I3" s="9">
        <v>2</v>
      </c>
      <c r="J3" s="2">
        <v>300</v>
      </c>
      <c r="L3" s="2" t="s">
        <v>30</v>
      </c>
      <c r="M3" s="2" t="s">
        <v>13</v>
      </c>
      <c r="N3" s="11" t="s">
        <v>36</v>
      </c>
      <c r="O3" s="9">
        <v>2</v>
      </c>
      <c r="P3" s="1">
        <v>200</v>
      </c>
    </row>
    <row r="4" spans="2:16" x14ac:dyDescent="0.25">
      <c r="F4" s="2" t="s">
        <v>21</v>
      </c>
      <c r="G4" s="2" t="s">
        <v>8</v>
      </c>
      <c r="H4" s="11" t="s">
        <v>29</v>
      </c>
      <c r="I4" s="9">
        <v>1</v>
      </c>
      <c r="J4" s="2">
        <v>400</v>
      </c>
      <c r="L4" s="2" t="s">
        <v>31</v>
      </c>
      <c r="M4" s="2" t="s">
        <v>14</v>
      </c>
      <c r="N4" s="11" t="s">
        <v>37</v>
      </c>
      <c r="O4" s="9">
        <v>1</v>
      </c>
      <c r="P4" s="1">
        <v>250</v>
      </c>
    </row>
    <row r="5" spans="2:16" x14ac:dyDescent="0.25">
      <c r="F5" s="2" t="s">
        <v>22</v>
      </c>
      <c r="G5" s="2" t="s">
        <v>9</v>
      </c>
      <c r="H5" s="11" t="s">
        <v>29</v>
      </c>
      <c r="I5" s="9">
        <v>2</v>
      </c>
      <c r="J5" s="2">
        <v>500</v>
      </c>
      <c r="L5" s="2" t="s">
        <v>32</v>
      </c>
      <c r="M5" s="2" t="s">
        <v>15</v>
      </c>
      <c r="N5" s="11" t="s">
        <v>36</v>
      </c>
      <c r="O5" s="9">
        <v>1</v>
      </c>
      <c r="P5" s="1">
        <v>900</v>
      </c>
    </row>
    <row r="6" spans="2:16" x14ac:dyDescent="0.25">
      <c r="F6" s="2" t="s">
        <v>23</v>
      </c>
      <c r="G6" s="2" t="s">
        <v>10</v>
      </c>
      <c r="H6" s="11" t="s">
        <v>29</v>
      </c>
      <c r="I6" s="9">
        <v>3</v>
      </c>
      <c r="J6" s="2">
        <v>600</v>
      </c>
      <c r="L6" s="2" t="s">
        <v>33</v>
      </c>
      <c r="M6" s="2" t="s">
        <v>16</v>
      </c>
      <c r="N6" s="11" t="s">
        <v>29</v>
      </c>
      <c r="O6" s="9">
        <v>3</v>
      </c>
      <c r="P6" s="1">
        <v>55</v>
      </c>
    </row>
    <row r="7" spans="2:16" x14ac:dyDescent="0.25">
      <c r="F7" s="2" t="s">
        <v>24</v>
      </c>
      <c r="G7" s="2" t="s">
        <v>11</v>
      </c>
      <c r="H7" s="11" t="s">
        <v>29</v>
      </c>
      <c r="I7" s="9">
        <v>1</v>
      </c>
      <c r="J7" s="2">
        <v>700</v>
      </c>
      <c r="L7" s="2" t="s">
        <v>34</v>
      </c>
      <c r="M7" s="2" t="s">
        <v>17</v>
      </c>
      <c r="N7" s="11" t="s">
        <v>37</v>
      </c>
      <c r="O7" s="9">
        <v>1</v>
      </c>
      <c r="P7" s="1">
        <v>650</v>
      </c>
    </row>
    <row r="8" spans="2:16" x14ac:dyDescent="0.25">
      <c r="F8" s="2" t="s">
        <v>25</v>
      </c>
      <c r="G8" s="2" t="s">
        <v>12</v>
      </c>
      <c r="H8" s="11" t="s">
        <v>29</v>
      </c>
      <c r="I8" s="9">
        <v>3</v>
      </c>
      <c r="J8" s="2">
        <v>800</v>
      </c>
      <c r="L8" s="2" t="s">
        <v>35</v>
      </c>
      <c r="M8" s="2" t="s">
        <v>18</v>
      </c>
      <c r="N8" s="11" t="s">
        <v>29</v>
      </c>
      <c r="O8" s="9">
        <v>3</v>
      </c>
      <c r="P8" s="1">
        <v>765</v>
      </c>
    </row>
    <row r="9" spans="2:16" x14ac:dyDescent="0.25">
      <c r="F9" s="2" t="s">
        <v>26</v>
      </c>
      <c r="G9" s="2" t="s">
        <v>27</v>
      </c>
      <c r="H9" s="11" t="s">
        <v>28</v>
      </c>
      <c r="I9" s="9">
        <v>1</v>
      </c>
      <c r="J9" s="2">
        <v>900</v>
      </c>
    </row>
    <row r="12" spans="2:16" x14ac:dyDescent="0.25">
      <c r="C12" s="13" t="str">
        <f>_xlfn.XLOOKUP(B3,G:G,F:F,"Seçili Kod Ürün Kodu değil",0)</f>
        <v>Seçili Kod Ürün Kodu değil</v>
      </c>
    </row>
    <row r="13" spans="2:16" x14ac:dyDescent="0.25">
      <c r="C13" s="13" t="str">
        <f>_xlfn.XLOOKUP(B3,G:G,F:F,_xlfn.XLOOKUP(B3,M:M,L:L,"Hatalı Kod",0),0)</f>
        <v>BD Ürün</v>
      </c>
    </row>
  </sheetData>
  <phoneticPr fontId="2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971EF2-2C6D-46B3-98EC-892080577BB5}">
          <x14:formula1>
            <xm:f>Sayfa2!$B$2:$B$13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2D92-9B55-4FE4-B691-CF00A68C539C}">
  <dimension ref="B1:B13"/>
  <sheetViews>
    <sheetView showGridLines="0" workbookViewId="0">
      <selection activeCell="D4" sqref="D4"/>
    </sheetView>
  </sheetViews>
  <sheetFormatPr defaultRowHeight="15" x14ac:dyDescent="0.25"/>
  <cols>
    <col min="2" max="2" width="11.42578125" bestFit="1" customWidth="1"/>
  </cols>
  <sheetData>
    <row r="1" spans="2:2" x14ac:dyDescent="0.25">
      <c r="B1" s="7" t="s">
        <v>19</v>
      </c>
    </row>
    <row r="2" spans="2:2" x14ac:dyDescent="0.25">
      <c r="B2" s="2" t="s">
        <v>7</v>
      </c>
    </row>
    <row r="3" spans="2:2" x14ac:dyDescent="0.25">
      <c r="B3" s="2" t="s">
        <v>8</v>
      </c>
    </row>
    <row r="4" spans="2:2" x14ac:dyDescent="0.25">
      <c r="B4" s="2" t="s">
        <v>9</v>
      </c>
    </row>
    <row r="5" spans="2:2" x14ac:dyDescent="0.25">
      <c r="B5" s="2" t="s">
        <v>10</v>
      </c>
    </row>
    <row r="6" spans="2:2" x14ac:dyDescent="0.25">
      <c r="B6" s="2" t="s">
        <v>11</v>
      </c>
    </row>
    <row r="7" spans="2:2" x14ac:dyDescent="0.25">
      <c r="B7" s="2" t="s">
        <v>12</v>
      </c>
    </row>
    <row r="8" spans="2:2" x14ac:dyDescent="0.25">
      <c r="B8" s="2" t="s">
        <v>13</v>
      </c>
    </row>
    <row r="9" spans="2:2" x14ac:dyDescent="0.25">
      <c r="B9" s="2" t="s">
        <v>14</v>
      </c>
    </row>
    <row r="10" spans="2:2" x14ac:dyDescent="0.25">
      <c r="B10" s="2" t="s">
        <v>15</v>
      </c>
    </row>
    <row r="11" spans="2:2" x14ac:dyDescent="0.25">
      <c r="B11" s="2" t="s">
        <v>16</v>
      </c>
    </row>
    <row r="12" spans="2:2" x14ac:dyDescent="0.25">
      <c r="B12" s="2" t="s">
        <v>17</v>
      </c>
    </row>
    <row r="13" spans="2:2" x14ac:dyDescent="0.25">
      <c r="B1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2021-04-04T11:05:02Z</dcterms:created>
  <dcterms:modified xsi:type="dcterms:W3CDTF">2021-04-04T12:14:47Z</dcterms:modified>
</cp:coreProperties>
</file>