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6FC15B1C-20A2-4F48-8ACF-E287FD2004DC}" xr6:coauthVersionLast="46" xr6:coauthVersionMax="46" xr10:uidLastSave="{00000000-0000-0000-0000-000000000000}"/>
  <bookViews>
    <workbookView xWindow="-120" yWindow="-120" windowWidth="24240" windowHeight="13140" xr2:uid="{CE8DB60E-D2B5-461F-AE64-2B8ED4C70A02}"/>
  </bookViews>
  <sheets>
    <sheet name="Sayfa1" sheetId="1" r:id="rId1"/>
    <sheet name="Sayfa2" sheetId="3" r:id="rId2"/>
    <sheet name="Sayfa3" sheetId="4" r:id="rId3"/>
    <sheet name="Sayfa4" sheetId="5" r:id="rId4"/>
    <sheet name="Sayfa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6" l="1"/>
  <c r="E15" i="6"/>
  <c r="E14" i="6"/>
  <c r="E13" i="6"/>
  <c r="E12" i="6"/>
  <c r="E11" i="6"/>
  <c r="E10" i="6"/>
  <c r="E9" i="6"/>
  <c r="E8" i="6"/>
  <c r="E7" i="6"/>
  <c r="E6" i="6"/>
  <c r="E5" i="6"/>
  <c r="E4" i="6"/>
  <c r="E3" i="6"/>
  <c r="E15" i="5"/>
  <c r="E7" i="5"/>
  <c r="E4" i="5"/>
  <c r="E5" i="5"/>
  <c r="E6" i="5"/>
  <c r="E8" i="5"/>
  <c r="E9" i="5"/>
  <c r="E10" i="5"/>
  <c r="E11" i="5"/>
  <c r="E12" i="5"/>
  <c r="E13" i="5"/>
  <c r="E14" i="5"/>
  <c r="E16" i="5"/>
  <c r="E3" i="5"/>
  <c r="G7" i="1" l="1"/>
  <c r="G8" i="1"/>
  <c r="G13" i="1"/>
  <c r="G5" i="1"/>
  <c r="G12" i="1"/>
  <c r="G4" i="1"/>
  <c r="G9" i="1"/>
  <c r="G6" i="1"/>
  <c r="G2" i="1"/>
  <c r="G3" i="1"/>
  <c r="G11" i="1"/>
  <c r="G10" i="1"/>
</calcChain>
</file>

<file path=xl/sharedStrings.xml><?xml version="1.0" encoding="utf-8"?>
<sst xmlns="http://schemas.openxmlformats.org/spreadsheetml/2006/main" count="168" uniqueCount="40">
  <si>
    <t>Tarih</t>
  </si>
  <si>
    <t>Tutar</t>
  </si>
  <si>
    <t>Toplam Tutar</t>
  </si>
  <si>
    <t>Şehir</t>
  </si>
  <si>
    <t>Antalya</t>
  </si>
  <si>
    <t>İstanbul</t>
  </si>
  <si>
    <t>İzmir</t>
  </si>
  <si>
    <t>Aydın</t>
  </si>
  <si>
    <t>Burdur</t>
  </si>
  <si>
    <t>Edirne</t>
  </si>
  <si>
    <t>Muğla</t>
  </si>
  <si>
    <t>Adana</t>
  </si>
  <si>
    <t>Bursa</t>
  </si>
  <si>
    <t>Satış Temsilcisi</t>
  </si>
  <si>
    <t>Ankara</t>
  </si>
  <si>
    <t>Metin Şener</t>
  </si>
  <si>
    <t>Gökçe Yılmaz</t>
  </si>
  <si>
    <t>Jale Çeliker</t>
  </si>
  <si>
    <t>Yavuzalp Pekel</t>
  </si>
  <si>
    <t>Deniz Güzel</t>
  </si>
  <si>
    <t>Veli Yılmaz</t>
  </si>
  <si>
    <t>Can Demirci</t>
  </si>
  <si>
    <t>Mehmet Saruhan</t>
  </si>
  <si>
    <t>Dilek Saruhan</t>
  </si>
  <si>
    <t>Arya Saruhan</t>
  </si>
  <si>
    <t>Arzu Deliduman</t>
  </si>
  <si>
    <t>Şirin Deliduman</t>
  </si>
  <si>
    <t>Sıra No</t>
  </si>
  <si>
    <t>=RANK.EŞİT(B2;$B$2:$B$13;0)+EĞERSAY($B$2:B2;B2)</t>
  </si>
  <si>
    <t>=RANK.EŞİT(B2;$B$2:$B$13;0)</t>
  </si>
  <si>
    <t>Akdeniz</t>
  </si>
  <si>
    <t>Marmara</t>
  </si>
  <si>
    <t>Ege</t>
  </si>
  <si>
    <t>Bölge</t>
  </si>
  <si>
    <t>Ahmet Pekin</t>
  </si>
  <si>
    <t>Ali Tekin</t>
  </si>
  <si>
    <t>Kategoriye Göre Sıra No</t>
  </si>
  <si>
    <t>=ÇOKEĞERSAY($B$3:$B$16;B3;$D$3:$D$16;"&gt;"&amp;D3)+1+ÇOKEĞERSAY($B$3:$B$3;B3;$D$3:$D$3;"&gt;"&amp;D3)</t>
  </si>
  <si>
    <t>=ÇOKEĞERSAY($B$3:$B$16;B4;$D$3:$D$16;"&gt;"&amp;D4)+1</t>
  </si>
  <si>
    <t>=RANK.EŞİT(G2;$G$2:$G$13)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</si>
</sst>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\ &quot;TL&quot;"/>
    <numFmt numFmtId="166" formatCode="_-* #,##0_-;\-* #,##0_-;_-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64" fontId="2" fillId="0" borderId="1" xfId="0" applyNumberFormat="1" applyFont="1" applyBorder="1"/>
    <xf numFmtId="164" fontId="0" fillId="0" borderId="0" xfId="0" applyNumberFormat="1"/>
    <xf numFmtId="1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4" fontId="2" fillId="0" borderId="1" xfId="1" applyNumberFormat="1" applyFont="1" applyBorder="1"/>
    <xf numFmtId="0" fontId="0" fillId="0" borderId="0" xfId="0" quotePrefix="1"/>
    <xf numFmtId="0" fontId="2" fillId="0" borderId="1" xfId="0" applyFont="1" applyBorder="1" applyAlignment="1">
      <alignment horizontal="center"/>
    </xf>
    <xf numFmtId="0" fontId="0" fillId="4" borderId="1" xfId="0" applyFill="1" applyBorder="1"/>
    <xf numFmtId="164" fontId="2" fillId="4" borderId="1" xfId="1" applyNumberFormat="1" applyFont="1" applyFill="1" applyBorder="1"/>
    <xf numFmtId="0" fontId="2" fillId="4" borderId="1" xfId="0" applyFont="1" applyFill="1" applyBorder="1" applyAlignment="1">
      <alignment horizontal="center"/>
    </xf>
    <xf numFmtId="166" fontId="2" fillId="0" borderId="1" xfId="2" applyNumberFormat="1" applyFont="1" applyBorder="1"/>
    <xf numFmtId="166" fontId="2" fillId="4" borderId="1" xfId="2" applyNumberFormat="1" applyFont="1" applyFill="1" applyBorder="1"/>
    <xf numFmtId="0" fontId="0" fillId="0" borderId="1" xfId="0" applyFill="1" applyBorder="1"/>
    <xf numFmtId="166" fontId="2" fillId="0" borderId="1" xfId="2" applyNumberFormat="1" applyFont="1" applyFill="1" applyBorder="1"/>
    <xf numFmtId="0" fontId="2" fillId="0" borderId="1" xfId="0" applyFont="1" applyFill="1" applyBorder="1" applyAlignment="1">
      <alignment horizontal="center"/>
    </xf>
    <xf numFmtId="0" fontId="0" fillId="5" borderId="1" xfId="0" applyFill="1" applyBorder="1"/>
    <xf numFmtId="166" fontId="2" fillId="5" borderId="1" xfId="2" applyNumberFormat="1" applyFont="1" applyFill="1" applyBorder="1"/>
    <xf numFmtId="0" fontId="2" fillId="5" borderId="1" xfId="0" applyFont="1" applyFill="1" applyBorder="1" applyAlignment="1">
      <alignment horizontal="center"/>
    </xf>
  </cellXfs>
  <cellStyles count="3">
    <cellStyle name="Normal" xfId="0" builtinId="0"/>
    <cellStyle name="Virgül" xfId="2" builtinId="3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4202-D23B-4193-A95E-DA701C360B31}">
  <dimension ref="A1:H25"/>
  <sheetViews>
    <sheetView showGridLines="0" tabSelected="1" zoomScale="115" zoomScaleNormal="115" workbookViewId="0">
      <selection activeCell="J12" sqref="J12"/>
    </sheetView>
  </sheetViews>
  <sheetFormatPr defaultColWidth="11.5703125" defaultRowHeight="15" x14ac:dyDescent="0.25"/>
  <cols>
    <col min="1" max="1" width="13" style="8" customWidth="1"/>
    <col min="2" max="2" width="14.42578125" bestFit="1" customWidth="1"/>
    <col min="3" max="3" width="13.7109375" customWidth="1"/>
    <col min="4" max="4" width="14.140625" style="7" customWidth="1"/>
    <col min="5" max="5" width="6.85546875" customWidth="1"/>
    <col min="6" max="6" width="16.28515625" bestFit="1" customWidth="1"/>
    <col min="7" max="7" width="18.28515625" bestFit="1" customWidth="1"/>
    <col min="8" max="8" width="8.5703125" customWidth="1"/>
  </cols>
  <sheetData>
    <row r="1" spans="1:8" ht="19.5" customHeight="1" x14ac:dyDescent="0.25">
      <c r="A1" s="1" t="s">
        <v>0</v>
      </c>
      <c r="B1" s="2" t="s">
        <v>13</v>
      </c>
      <c r="C1" s="2" t="s">
        <v>3</v>
      </c>
      <c r="D1" s="3" t="s">
        <v>1</v>
      </c>
      <c r="F1" s="9" t="s">
        <v>13</v>
      </c>
      <c r="G1" s="10" t="s">
        <v>2</v>
      </c>
      <c r="H1" s="9" t="s">
        <v>27</v>
      </c>
    </row>
    <row r="2" spans="1:8" x14ac:dyDescent="0.25">
      <c r="A2" s="4">
        <v>44567</v>
      </c>
      <c r="B2" s="5" t="s">
        <v>15</v>
      </c>
      <c r="C2" s="5" t="s">
        <v>4</v>
      </c>
      <c r="D2" s="6">
        <v>311200</v>
      </c>
      <c r="F2" s="5" t="s">
        <v>24</v>
      </c>
      <c r="G2" s="11">
        <f>SUMIF(B:B,F2,D:D)</f>
        <v>295800</v>
      </c>
      <c r="H2" s="13"/>
    </row>
    <row r="3" spans="1:8" x14ac:dyDescent="0.25">
      <c r="A3" s="4">
        <v>44686</v>
      </c>
      <c r="B3" s="5" t="s">
        <v>16</v>
      </c>
      <c r="C3" s="5" t="s">
        <v>9</v>
      </c>
      <c r="D3" s="6">
        <v>574000</v>
      </c>
      <c r="F3" s="5" t="s">
        <v>25</v>
      </c>
      <c r="G3" s="11">
        <f>SUMIF(B:B,F3,D:D)</f>
        <v>545300</v>
      </c>
      <c r="H3" s="13"/>
    </row>
    <row r="4" spans="1:8" x14ac:dyDescent="0.25">
      <c r="A4" s="4">
        <v>44856</v>
      </c>
      <c r="B4" s="5" t="s">
        <v>17</v>
      </c>
      <c r="C4" s="5" t="s">
        <v>11</v>
      </c>
      <c r="D4" s="6">
        <v>212500</v>
      </c>
      <c r="F4" s="5" t="s">
        <v>21</v>
      </c>
      <c r="G4" s="11">
        <f>SUMIF(B:B,F4,D:D)</f>
        <v>860000</v>
      </c>
      <c r="H4" s="13"/>
    </row>
    <row r="5" spans="1:8" x14ac:dyDescent="0.25">
      <c r="A5" s="4">
        <v>44279</v>
      </c>
      <c r="B5" s="5" t="s">
        <v>18</v>
      </c>
      <c r="C5" s="5" t="s">
        <v>12</v>
      </c>
      <c r="D5" s="6">
        <v>342000</v>
      </c>
      <c r="F5" s="5" t="s">
        <v>19</v>
      </c>
      <c r="G5" s="11">
        <f>SUMIF(B:B,F5,D:D)</f>
        <v>571500</v>
      </c>
      <c r="H5" s="13"/>
    </row>
    <row r="6" spans="1:8" x14ac:dyDescent="0.25">
      <c r="A6" s="4">
        <v>44398</v>
      </c>
      <c r="B6" s="5" t="s">
        <v>19</v>
      </c>
      <c r="C6" s="5" t="s">
        <v>14</v>
      </c>
      <c r="D6" s="6">
        <v>160500</v>
      </c>
      <c r="F6" s="5" t="s">
        <v>23</v>
      </c>
      <c r="G6" s="11">
        <f>SUMIF(B:B,F6,D:D)</f>
        <v>410800</v>
      </c>
      <c r="H6" s="13"/>
    </row>
    <row r="7" spans="1:8" x14ac:dyDescent="0.25">
      <c r="A7" s="4">
        <v>44601</v>
      </c>
      <c r="B7" s="5" t="s">
        <v>20</v>
      </c>
      <c r="C7" s="5" t="s">
        <v>5</v>
      </c>
      <c r="D7" s="6">
        <v>385000</v>
      </c>
      <c r="F7" s="5" t="s">
        <v>16</v>
      </c>
      <c r="G7" s="11">
        <f>SUMIF(B:B,F7,D:D)</f>
        <v>954000</v>
      </c>
      <c r="H7" s="13"/>
    </row>
    <row r="8" spans="1:8" x14ac:dyDescent="0.25">
      <c r="A8" s="4">
        <v>44703</v>
      </c>
      <c r="B8" s="5" t="s">
        <v>21</v>
      </c>
      <c r="C8" s="5" t="s">
        <v>10</v>
      </c>
      <c r="D8" s="6">
        <v>584000</v>
      </c>
      <c r="F8" s="5" t="s">
        <v>17</v>
      </c>
      <c r="G8" s="11">
        <f>SUMIF(B:B,F8,D:D)</f>
        <v>974500</v>
      </c>
      <c r="H8" s="13"/>
    </row>
    <row r="9" spans="1:8" x14ac:dyDescent="0.25">
      <c r="A9" s="4">
        <v>44873</v>
      </c>
      <c r="B9" s="5" t="s">
        <v>22</v>
      </c>
      <c r="C9" s="5" t="s">
        <v>5</v>
      </c>
      <c r="D9" s="6">
        <v>63900</v>
      </c>
      <c r="F9" s="5" t="s">
        <v>22</v>
      </c>
      <c r="G9" s="11">
        <f>SUMIF(B:B,F9,D:D)</f>
        <v>295200</v>
      </c>
      <c r="H9" s="13"/>
    </row>
    <row r="10" spans="1:8" x14ac:dyDescent="0.25">
      <c r="A10" s="4">
        <v>44296</v>
      </c>
      <c r="B10" s="5" t="s">
        <v>23</v>
      </c>
      <c r="C10" s="5" t="s">
        <v>8</v>
      </c>
      <c r="D10" s="6">
        <v>356000</v>
      </c>
      <c r="F10" s="5" t="s">
        <v>15</v>
      </c>
      <c r="G10" s="11">
        <f>SUMIF(B:B,F10,D:D)</f>
        <v>391400</v>
      </c>
      <c r="H10" s="13"/>
    </row>
    <row r="11" spans="1:8" x14ac:dyDescent="0.25">
      <c r="A11" s="4">
        <v>44415</v>
      </c>
      <c r="B11" s="5" t="s">
        <v>24</v>
      </c>
      <c r="C11" s="5" t="s">
        <v>9</v>
      </c>
      <c r="D11" s="6">
        <v>198900</v>
      </c>
      <c r="F11" s="5" t="s">
        <v>26</v>
      </c>
      <c r="G11" s="11">
        <f>SUMIF(B:B,F11,D:D)</f>
        <v>686300</v>
      </c>
      <c r="H11" s="13"/>
    </row>
    <row r="12" spans="1:8" x14ac:dyDescent="0.25">
      <c r="A12" s="4">
        <v>44669</v>
      </c>
      <c r="B12" s="5" t="s">
        <v>25</v>
      </c>
      <c r="C12" s="5" t="s">
        <v>8</v>
      </c>
      <c r="D12" s="6">
        <v>156500</v>
      </c>
      <c r="F12" s="5" t="s">
        <v>20</v>
      </c>
      <c r="G12" s="11">
        <f>SUMIF(B:B,F12,D:D)</f>
        <v>548600</v>
      </c>
      <c r="H12" s="13"/>
    </row>
    <row r="13" spans="1:8" x14ac:dyDescent="0.25">
      <c r="A13" s="4">
        <v>44822</v>
      </c>
      <c r="B13" s="5" t="s">
        <v>26</v>
      </c>
      <c r="C13" s="5" t="s">
        <v>12</v>
      </c>
      <c r="D13" s="6">
        <v>464000</v>
      </c>
      <c r="F13" s="5" t="s">
        <v>18</v>
      </c>
      <c r="G13" s="11">
        <f>SUMIF(B:B,F13,D:D)</f>
        <v>530400</v>
      </c>
      <c r="H13" s="13"/>
    </row>
    <row r="14" spans="1:8" x14ac:dyDescent="0.25">
      <c r="A14" s="4">
        <v>44924</v>
      </c>
      <c r="B14" s="5" t="s">
        <v>15</v>
      </c>
      <c r="C14" s="5" t="s">
        <v>11</v>
      </c>
      <c r="D14" s="6">
        <v>80200</v>
      </c>
    </row>
    <row r="15" spans="1:8" x14ac:dyDescent="0.25">
      <c r="A15" s="4">
        <v>44381</v>
      </c>
      <c r="B15" s="5" t="s">
        <v>16</v>
      </c>
      <c r="C15" s="5" t="s">
        <v>7</v>
      </c>
      <c r="D15" s="6">
        <v>380000</v>
      </c>
    </row>
    <row r="16" spans="1:8" x14ac:dyDescent="0.25">
      <c r="A16" s="4">
        <v>44618</v>
      </c>
      <c r="B16" s="5" t="s">
        <v>17</v>
      </c>
      <c r="C16" s="5" t="s">
        <v>6</v>
      </c>
      <c r="D16" s="6">
        <v>762000</v>
      </c>
    </row>
    <row r="17" spans="1:8" x14ac:dyDescent="0.25">
      <c r="A17" s="4">
        <v>44737</v>
      </c>
      <c r="B17" s="5" t="s">
        <v>18</v>
      </c>
      <c r="C17" s="5" t="s">
        <v>11</v>
      </c>
      <c r="D17" s="6">
        <v>188400</v>
      </c>
      <c r="H17" s="12" t="s">
        <v>39</v>
      </c>
    </row>
    <row r="18" spans="1:8" x14ac:dyDescent="0.25">
      <c r="A18" s="4">
        <v>44890</v>
      </c>
      <c r="B18" s="5" t="s">
        <v>19</v>
      </c>
      <c r="C18" s="5" t="s">
        <v>6</v>
      </c>
      <c r="D18" s="6">
        <v>411000</v>
      </c>
    </row>
    <row r="19" spans="1:8" x14ac:dyDescent="0.25">
      <c r="A19" s="4">
        <v>44313</v>
      </c>
      <c r="B19" s="5" t="s">
        <v>20</v>
      </c>
      <c r="C19" s="5" t="s">
        <v>6</v>
      </c>
      <c r="D19" s="6">
        <v>163600</v>
      </c>
    </row>
    <row r="20" spans="1:8" x14ac:dyDescent="0.25">
      <c r="A20" s="4">
        <v>44449</v>
      </c>
      <c r="B20" s="5" t="s">
        <v>21</v>
      </c>
      <c r="C20" s="5" t="s">
        <v>6</v>
      </c>
      <c r="D20" s="6">
        <v>276000</v>
      </c>
    </row>
    <row r="21" spans="1:8" x14ac:dyDescent="0.25">
      <c r="A21" s="4">
        <v>44635</v>
      </c>
      <c r="B21" s="5" t="s">
        <v>22</v>
      </c>
      <c r="C21" s="5" t="s">
        <v>7</v>
      </c>
      <c r="D21" s="6">
        <v>231300</v>
      </c>
    </row>
    <row r="22" spans="1:8" x14ac:dyDescent="0.25">
      <c r="A22" s="4">
        <v>44788</v>
      </c>
      <c r="B22" s="5" t="s">
        <v>23</v>
      </c>
      <c r="C22" s="5" t="s">
        <v>12</v>
      </c>
      <c r="D22" s="6">
        <v>54800</v>
      </c>
    </row>
    <row r="23" spans="1:8" x14ac:dyDescent="0.25">
      <c r="A23" s="4">
        <v>44907</v>
      </c>
      <c r="B23" s="5" t="s">
        <v>24</v>
      </c>
      <c r="C23" s="5" t="s">
        <v>7</v>
      </c>
      <c r="D23" s="6">
        <v>96900</v>
      </c>
    </row>
    <row r="24" spans="1:8" x14ac:dyDescent="0.25">
      <c r="A24" s="4">
        <v>44330</v>
      </c>
      <c r="B24" s="5" t="s">
        <v>25</v>
      </c>
      <c r="C24" s="5" t="s">
        <v>5</v>
      </c>
      <c r="D24" s="6">
        <v>388800</v>
      </c>
    </row>
    <row r="25" spans="1:8" x14ac:dyDescent="0.25">
      <c r="A25" s="4">
        <v>44500</v>
      </c>
      <c r="B25" s="5" t="s">
        <v>26</v>
      </c>
      <c r="C25" s="5" t="s">
        <v>11</v>
      </c>
      <c r="D25" s="6">
        <v>222300</v>
      </c>
    </row>
  </sheetData>
  <sortState xmlns:xlrd2="http://schemas.microsoft.com/office/spreadsheetml/2017/richdata2" ref="F2:H13">
    <sortCondition ref="F2:F13"/>
  </sortState>
  <printOptions headings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C9DF-A11F-43D6-BAC1-511738738449}">
  <dimension ref="A1:C18"/>
  <sheetViews>
    <sheetView showGridLines="0" workbookViewId="0">
      <selection activeCell="B22" sqref="B22"/>
    </sheetView>
  </sheetViews>
  <sheetFormatPr defaultRowHeight="15" x14ac:dyDescent="0.25"/>
  <cols>
    <col min="1" max="1" width="16.28515625" bestFit="1" customWidth="1"/>
    <col min="2" max="2" width="12.5703125" bestFit="1" customWidth="1"/>
  </cols>
  <sheetData>
    <row r="1" spans="1:3" x14ac:dyDescent="0.25">
      <c r="A1" s="9" t="s">
        <v>13</v>
      </c>
      <c r="B1" s="10" t="s">
        <v>2</v>
      </c>
      <c r="C1" s="9" t="s">
        <v>27</v>
      </c>
    </row>
    <row r="2" spans="1:3" x14ac:dyDescent="0.25">
      <c r="A2" s="5" t="s">
        <v>24</v>
      </c>
      <c r="B2" s="11">
        <v>295800</v>
      </c>
      <c r="C2" s="13"/>
    </row>
    <row r="3" spans="1:3" x14ac:dyDescent="0.25">
      <c r="A3" s="5" t="s">
        <v>25</v>
      </c>
      <c r="B3" s="11">
        <v>545300</v>
      </c>
      <c r="C3" s="13"/>
    </row>
    <row r="4" spans="1:3" x14ac:dyDescent="0.25">
      <c r="A4" s="5" t="s">
        <v>21</v>
      </c>
      <c r="B4" s="11">
        <v>860000</v>
      </c>
      <c r="C4" s="13"/>
    </row>
    <row r="5" spans="1:3" x14ac:dyDescent="0.25">
      <c r="A5" s="14" t="s">
        <v>19</v>
      </c>
      <c r="B5" s="15">
        <v>500000</v>
      </c>
      <c r="C5" s="16"/>
    </row>
    <row r="6" spans="1:3" x14ac:dyDescent="0.25">
      <c r="A6" s="14" t="s">
        <v>23</v>
      </c>
      <c r="B6" s="15">
        <v>500000</v>
      </c>
      <c r="C6" s="16"/>
    </row>
    <row r="7" spans="1:3" x14ac:dyDescent="0.25">
      <c r="A7" s="5" t="s">
        <v>16</v>
      </c>
      <c r="B7" s="11">
        <v>954000</v>
      </c>
      <c r="C7" s="13"/>
    </row>
    <row r="8" spans="1:3" x14ac:dyDescent="0.25">
      <c r="A8" s="5" t="s">
        <v>17</v>
      </c>
      <c r="B8" s="11">
        <v>974500</v>
      </c>
      <c r="C8" s="13"/>
    </row>
    <row r="9" spans="1:3" x14ac:dyDescent="0.25">
      <c r="A9" s="5" t="s">
        <v>22</v>
      </c>
      <c r="B9" s="11">
        <v>295200</v>
      </c>
      <c r="C9" s="13"/>
    </row>
    <row r="10" spans="1:3" x14ac:dyDescent="0.25">
      <c r="A10" s="5" t="s">
        <v>15</v>
      </c>
      <c r="B10" s="11">
        <v>391400</v>
      </c>
      <c r="C10" s="13"/>
    </row>
    <row r="11" spans="1:3" x14ac:dyDescent="0.25">
      <c r="A11" s="5" t="s">
        <v>26</v>
      </c>
      <c r="B11" s="11">
        <v>686300</v>
      </c>
      <c r="C11" s="13"/>
    </row>
    <row r="12" spans="1:3" x14ac:dyDescent="0.25">
      <c r="A12" s="5" t="s">
        <v>20</v>
      </c>
      <c r="B12" s="11">
        <v>548600</v>
      </c>
      <c r="C12" s="13"/>
    </row>
    <row r="13" spans="1:3" x14ac:dyDescent="0.25">
      <c r="A13" s="5" t="s">
        <v>18</v>
      </c>
      <c r="B13" s="11">
        <v>530400</v>
      </c>
      <c r="C13" s="13"/>
    </row>
    <row r="18" spans="3:3" x14ac:dyDescent="0.25">
      <c r="C18" s="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D825F-400D-4CFC-A265-C8BC40D32D40}">
  <dimension ref="A1:C17"/>
  <sheetViews>
    <sheetView showGridLines="0" workbookViewId="0">
      <selection activeCell="E12" sqref="E12"/>
    </sheetView>
  </sheetViews>
  <sheetFormatPr defaultRowHeight="15" x14ac:dyDescent="0.25"/>
  <cols>
    <col min="1" max="1" width="16.28515625" bestFit="1" customWidth="1"/>
    <col min="2" max="2" width="12.5703125" bestFit="1" customWidth="1"/>
  </cols>
  <sheetData>
    <row r="1" spans="1:3" x14ac:dyDescent="0.25">
      <c r="A1" s="9" t="s">
        <v>13</v>
      </c>
      <c r="B1" s="10" t="s">
        <v>2</v>
      </c>
      <c r="C1" s="9" t="s">
        <v>27</v>
      </c>
    </row>
    <row r="2" spans="1:3" x14ac:dyDescent="0.25">
      <c r="A2" s="5" t="s">
        <v>24</v>
      </c>
      <c r="B2" s="17">
        <v>295800</v>
      </c>
      <c r="C2" s="13"/>
    </row>
    <row r="3" spans="1:3" x14ac:dyDescent="0.25">
      <c r="A3" s="5" t="s">
        <v>25</v>
      </c>
      <c r="B3" s="17">
        <v>545300</v>
      </c>
      <c r="C3" s="13"/>
    </row>
    <row r="4" spans="1:3" x14ac:dyDescent="0.25">
      <c r="A4" s="5" t="s">
        <v>21</v>
      </c>
      <c r="B4" s="17">
        <v>860000</v>
      </c>
      <c r="C4" s="13"/>
    </row>
    <row r="5" spans="1:3" x14ac:dyDescent="0.25">
      <c r="A5" s="14" t="s">
        <v>19</v>
      </c>
      <c r="B5" s="18">
        <v>500000</v>
      </c>
      <c r="C5" s="16"/>
    </row>
    <row r="6" spans="1:3" x14ac:dyDescent="0.25">
      <c r="A6" s="14" t="s">
        <v>23</v>
      </c>
      <c r="B6" s="18">
        <v>500000</v>
      </c>
      <c r="C6" s="16"/>
    </row>
    <row r="7" spans="1:3" x14ac:dyDescent="0.25">
      <c r="A7" s="5" t="s">
        <v>16</v>
      </c>
      <c r="B7" s="17">
        <v>954000</v>
      </c>
      <c r="C7" s="13"/>
    </row>
    <row r="8" spans="1:3" x14ac:dyDescent="0.25">
      <c r="A8" s="5" t="s">
        <v>17</v>
      </c>
      <c r="B8" s="17">
        <v>974500</v>
      </c>
      <c r="C8" s="13"/>
    </row>
    <row r="9" spans="1:3" x14ac:dyDescent="0.25">
      <c r="A9" s="5" t="s">
        <v>22</v>
      </c>
      <c r="B9" s="17">
        <v>295200</v>
      </c>
      <c r="C9" s="13"/>
    </row>
    <row r="10" spans="1:3" x14ac:dyDescent="0.25">
      <c r="A10" s="5" t="s">
        <v>15</v>
      </c>
      <c r="B10" s="17">
        <v>391400</v>
      </c>
      <c r="C10" s="13"/>
    </row>
    <row r="11" spans="1:3" x14ac:dyDescent="0.25">
      <c r="A11" s="5" t="s">
        <v>26</v>
      </c>
      <c r="B11" s="17">
        <v>686300</v>
      </c>
      <c r="C11" s="13"/>
    </row>
    <row r="12" spans="1:3" x14ac:dyDescent="0.25">
      <c r="A12" s="5" t="s">
        <v>20</v>
      </c>
      <c r="B12" s="17">
        <v>548600</v>
      </c>
      <c r="C12" s="13"/>
    </row>
    <row r="13" spans="1:3" x14ac:dyDescent="0.25">
      <c r="A13" s="5" t="s">
        <v>18</v>
      </c>
      <c r="B13" s="17">
        <v>530400</v>
      </c>
      <c r="C13" s="13"/>
    </row>
    <row r="17" spans="3:3" x14ac:dyDescent="0.25">
      <c r="C17" s="1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B7CE-1459-4340-A441-62D9D46AE6A8}">
  <dimension ref="B2:F19"/>
  <sheetViews>
    <sheetView showGridLines="0" workbookViewId="0">
      <selection activeCell="E3" sqref="E3"/>
    </sheetView>
  </sheetViews>
  <sheetFormatPr defaultRowHeight="15" x14ac:dyDescent="0.25"/>
  <cols>
    <col min="1" max="1" width="4.140625" customWidth="1"/>
    <col min="3" max="3" width="16.28515625" bestFit="1" customWidth="1"/>
    <col min="4" max="4" width="12.5703125" bestFit="1" customWidth="1"/>
    <col min="5" max="5" width="11.85546875" customWidth="1"/>
    <col min="6" max="6" width="24.5703125" customWidth="1"/>
  </cols>
  <sheetData>
    <row r="2" spans="2:6" x14ac:dyDescent="0.25">
      <c r="B2" s="9" t="s">
        <v>33</v>
      </c>
      <c r="C2" s="9" t="s">
        <v>13</v>
      </c>
      <c r="D2" s="10" t="s">
        <v>2</v>
      </c>
      <c r="E2" s="10" t="s">
        <v>27</v>
      </c>
      <c r="F2" s="10" t="s">
        <v>36</v>
      </c>
    </row>
    <row r="3" spans="2:6" x14ac:dyDescent="0.25">
      <c r="B3" s="19" t="s">
        <v>30</v>
      </c>
      <c r="C3" s="19" t="s">
        <v>24</v>
      </c>
      <c r="D3" s="20">
        <v>295800</v>
      </c>
      <c r="E3" s="21">
        <f>_xlfn.RANK.EQ(D3,$D$3:$D$16,0)</f>
        <v>12</v>
      </c>
      <c r="F3" s="21"/>
    </row>
    <row r="4" spans="2:6" x14ac:dyDescent="0.25">
      <c r="B4" s="19" t="s">
        <v>30</v>
      </c>
      <c r="C4" s="19" t="s">
        <v>19</v>
      </c>
      <c r="D4" s="20">
        <v>500000</v>
      </c>
      <c r="E4" s="21">
        <f t="shared" ref="E4:E16" si="0">_xlfn.RANK.EQ(D4,$D$3:$D$16,0)</f>
        <v>8</v>
      </c>
      <c r="F4" s="21"/>
    </row>
    <row r="5" spans="2:6" x14ac:dyDescent="0.25">
      <c r="B5" s="19" t="s">
        <v>30</v>
      </c>
      <c r="C5" s="19" t="s">
        <v>17</v>
      </c>
      <c r="D5" s="20">
        <v>974500</v>
      </c>
      <c r="E5" s="21">
        <f t="shared" si="0"/>
        <v>1</v>
      </c>
      <c r="F5" s="21"/>
    </row>
    <row r="6" spans="2:6" x14ac:dyDescent="0.25">
      <c r="B6" s="19" t="s">
        <v>30</v>
      </c>
      <c r="C6" s="19" t="s">
        <v>26</v>
      </c>
      <c r="D6" s="20">
        <v>686300</v>
      </c>
      <c r="E6" s="21">
        <f t="shared" si="0"/>
        <v>4</v>
      </c>
      <c r="F6" s="21"/>
    </row>
    <row r="7" spans="2:6" x14ac:dyDescent="0.25">
      <c r="B7" s="19" t="s">
        <v>30</v>
      </c>
      <c r="C7" s="19" t="s">
        <v>34</v>
      </c>
      <c r="D7" s="20">
        <v>456300</v>
      </c>
      <c r="E7" s="21">
        <f t="shared" si="0"/>
        <v>10</v>
      </c>
      <c r="F7" s="21"/>
    </row>
    <row r="8" spans="2:6" x14ac:dyDescent="0.25">
      <c r="B8" s="22" t="s">
        <v>32</v>
      </c>
      <c r="C8" s="22" t="s">
        <v>21</v>
      </c>
      <c r="D8" s="23">
        <v>860000</v>
      </c>
      <c r="E8" s="24">
        <f t="shared" si="0"/>
        <v>3</v>
      </c>
      <c r="F8" s="21"/>
    </row>
    <row r="9" spans="2:6" x14ac:dyDescent="0.25">
      <c r="B9" s="22" t="s">
        <v>32</v>
      </c>
      <c r="C9" s="22" t="s">
        <v>16</v>
      </c>
      <c r="D9" s="23">
        <v>954000</v>
      </c>
      <c r="E9" s="24">
        <f t="shared" si="0"/>
        <v>2</v>
      </c>
      <c r="F9" s="21"/>
    </row>
    <row r="10" spans="2:6" x14ac:dyDescent="0.25">
      <c r="B10" s="22" t="s">
        <v>32</v>
      </c>
      <c r="C10" s="22" t="s">
        <v>15</v>
      </c>
      <c r="D10" s="23">
        <v>391400</v>
      </c>
      <c r="E10" s="24">
        <f t="shared" si="0"/>
        <v>11</v>
      </c>
      <c r="F10" s="21"/>
    </row>
    <row r="11" spans="2:6" x14ac:dyDescent="0.25">
      <c r="B11" s="22" t="s">
        <v>32</v>
      </c>
      <c r="C11" s="22" t="s">
        <v>18</v>
      </c>
      <c r="D11" s="23">
        <v>530400</v>
      </c>
      <c r="E11" s="24">
        <f t="shared" si="0"/>
        <v>7</v>
      </c>
      <c r="F11" s="21"/>
    </row>
    <row r="12" spans="2:6" x14ac:dyDescent="0.25">
      <c r="B12" s="19" t="s">
        <v>31</v>
      </c>
      <c r="C12" s="19" t="s">
        <v>25</v>
      </c>
      <c r="D12" s="20">
        <v>545300</v>
      </c>
      <c r="E12" s="21">
        <f t="shared" si="0"/>
        <v>6</v>
      </c>
      <c r="F12" s="21"/>
    </row>
    <row r="13" spans="2:6" x14ac:dyDescent="0.25">
      <c r="B13" s="19" t="s">
        <v>31</v>
      </c>
      <c r="C13" s="19" t="s">
        <v>23</v>
      </c>
      <c r="D13" s="20">
        <v>500000</v>
      </c>
      <c r="E13" s="21">
        <f t="shared" si="0"/>
        <v>8</v>
      </c>
      <c r="F13" s="21"/>
    </row>
    <row r="14" spans="2:6" x14ac:dyDescent="0.25">
      <c r="B14" s="19" t="s">
        <v>31</v>
      </c>
      <c r="C14" s="19" t="s">
        <v>22</v>
      </c>
      <c r="D14" s="20">
        <v>295200</v>
      </c>
      <c r="E14" s="21">
        <f t="shared" si="0"/>
        <v>13</v>
      </c>
      <c r="F14" s="21"/>
    </row>
    <row r="15" spans="2:6" x14ac:dyDescent="0.25">
      <c r="B15" s="19" t="s">
        <v>31</v>
      </c>
      <c r="C15" s="19" t="s">
        <v>35</v>
      </c>
      <c r="D15" s="20">
        <v>280000</v>
      </c>
      <c r="E15" s="21">
        <f t="shared" si="0"/>
        <v>14</v>
      </c>
      <c r="F15" s="21"/>
    </row>
    <row r="16" spans="2:6" x14ac:dyDescent="0.25">
      <c r="B16" s="19" t="s">
        <v>31</v>
      </c>
      <c r="C16" s="19" t="s">
        <v>20</v>
      </c>
      <c r="D16" s="20">
        <v>548600</v>
      </c>
      <c r="E16" s="21">
        <f t="shared" si="0"/>
        <v>5</v>
      </c>
      <c r="F16" s="21"/>
    </row>
    <row r="19" spans="6:6" x14ac:dyDescent="0.25">
      <c r="F19" s="12" t="s">
        <v>38</v>
      </c>
    </row>
  </sheetData>
  <sortState xmlns:xlrd2="http://schemas.microsoft.com/office/spreadsheetml/2017/richdata2" ref="B3:E16">
    <sortCondition ref="B3:B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E6F4-5980-4A92-9742-C343CC5C24D9}">
  <dimension ref="B2:F19"/>
  <sheetViews>
    <sheetView showGridLines="0" workbookViewId="0">
      <selection activeCell="F3" sqref="F3:F16"/>
    </sheetView>
  </sheetViews>
  <sheetFormatPr defaultRowHeight="15" x14ac:dyDescent="0.25"/>
  <cols>
    <col min="1" max="1" width="4.140625" customWidth="1"/>
    <col min="3" max="3" width="16.28515625" bestFit="1" customWidth="1"/>
    <col min="4" max="4" width="12.5703125" bestFit="1" customWidth="1"/>
    <col min="5" max="5" width="11.85546875" customWidth="1"/>
    <col min="6" max="6" width="24.5703125" customWidth="1"/>
  </cols>
  <sheetData>
    <row r="2" spans="2:6" x14ac:dyDescent="0.25">
      <c r="B2" s="9" t="s">
        <v>33</v>
      </c>
      <c r="C2" s="9" t="s">
        <v>13</v>
      </c>
      <c r="D2" s="10" t="s">
        <v>2</v>
      </c>
      <c r="E2" s="10" t="s">
        <v>27</v>
      </c>
      <c r="F2" s="10" t="s">
        <v>36</v>
      </c>
    </row>
    <row r="3" spans="2:6" x14ac:dyDescent="0.25">
      <c r="B3" s="19" t="s">
        <v>30</v>
      </c>
      <c r="C3" s="19" t="s">
        <v>24</v>
      </c>
      <c r="D3" s="20">
        <v>295800</v>
      </c>
      <c r="E3" s="21">
        <f>_xlfn.RANK.EQ(D3,$D$3:$D$16,0)</f>
        <v>14</v>
      </c>
      <c r="F3" s="21"/>
    </row>
    <row r="4" spans="2:6" x14ac:dyDescent="0.25">
      <c r="B4" s="19" t="s">
        <v>30</v>
      </c>
      <c r="C4" s="19" t="s">
        <v>19</v>
      </c>
      <c r="D4" s="20">
        <v>500000</v>
      </c>
      <c r="E4" s="21">
        <f t="shared" ref="E4:E16" si="0">_xlfn.RANK.EQ(D4,$D$3:$D$16,0)</f>
        <v>8</v>
      </c>
      <c r="F4" s="21"/>
    </row>
    <row r="5" spans="2:6" x14ac:dyDescent="0.25">
      <c r="B5" s="19" t="s">
        <v>30</v>
      </c>
      <c r="C5" s="19" t="s">
        <v>17</v>
      </c>
      <c r="D5" s="20">
        <v>974500</v>
      </c>
      <c r="E5" s="21">
        <f t="shared" si="0"/>
        <v>1</v>
      </c>
      <c r="F5" s="21"/>
    </row>
    <row r="6" spans="2:6" x14ac:dyDescent="0.25">
      <c r="B6" s="19" t="s">
        <v>30</v>
      </c>
      <c r="C6" s="19" t="s">
        <v>26</v>
      </c>
      <c r="D6" s="20">
        <v>974500</v>
      </c>
      <c r="E6" s="21">
        <f t="shared" si="0"/>
        <v>1</v>
      </c>
      <c r="F6" s="21"/>
    </row>
    <row r="7" spans="2:6" x14ac:dyDescent="0.25">
      <c r="B7" s="19" t="s">
        <v>30</v>
      </c>
      <c r="C7" s="19" t="s">
        <v>34</v>
      </c>
      <c r="D7" s="20">
        <v>456300</v>
      </c>
      <c r="E7" s="21">
        <f t="shared" si="0"/>
        <v>12</v>
      </c>
      <c r="F7" s="21"/>
    </row>
    <row r="8" spans="2:6" x14ac:dyDescent="0.25">
      <c r="B8" s="22" t="s">
        <v>32</v>
      </c>
      <c r="C8" s="22" t="s">
        <v>21</v>
      </c>
      <c r="D8" s="23">
        <v>860000</v>
      </c>
      <c r="E8" s="24">
        <f t="shared" si="0"/>
        <v>4</v>
      </c>
      <c r="F8" s="21"/>
    </row>
    <row r="9" spans="2:6" x14ac:dyDescent="0.25">
      <c r="B9" s="22" t="s">
        <v>32</v>
      </c>
      <c r="C9" s="22" t="s">
        <v>16</v>
      </c>
      <c r="D9" s="23">
        <v>954000</v>
      </c>
      <c r="E9" s="24">
        <f t="shared" si="0"/>
        <v>3</v>
      </c>
      <c r="F9" s="21"/>
    </row>
    <row r="10" spans="2:6" x14ac:dyDescent="0.25">
      <c r="B10" s="22" t="s">
        <v>32</v>
      </c>
      <c r="C10" s="22" t="s">
        <v>15</v>
      </c>
      <c r="D10" s="23">
        <v>391400</v>
      </c>
      <c r="E10" s="24">
        <f t="shared" si="0"/>
        <v>13</v>
      </c>
      <c r="F10" s="21"/>
    </row>
    <row r="11" spans="2:6" x14ac:dyDescent="0.25">
      <c r="B11" s="22" t="s">
        <v>32</v>
      </c>
      <c r="C11" s="22" t="s">
        <v>18</v>
      </c>
      <c r="D11" s="23">
        <v>530400</v>
      </c>
      <c r="E11" s="24">
        <f t="shared" si="0"/>
        <v>7</v>
      </c>
      <c r="F11" s="21"/>
    </row>
    <row r="12" spans="2:6" x14ac:dyDescent="0.25">
      <c r="B12" s="19" t="s">
        <v>31</v>
      </c>
      <c r="C12" s="19" t="s">
        <v>25</v>
      </c>
      <c r="D12" s="20">
        <v>545300</v>
      </c>
      <c r="E12" s="21">
        <f t="shared" si="0"/>
        <v>6</v>
      </c>
      <c r="F12" s="21"/>
    </row>
    <row r="13" spans="2:6" x14ac:dyDescent="0.25">
      <c r="B13" s="19" t="s">
        <v>31</v>
      </c>
      <c r="C13" s="19" t="s">
        <v>23</v>
      </c>
      <c r="D13" s="20">
        <v>500000</v>
      </c>
      <c r="E13" s="21">
        <f t="shared" si="0"/>
        <v>8</v>
      </c>
      <c r="F13" s="21"/>
    </row>
    <row r="14" spans="2:6" x14ac:dyDescent="0.25">
      <c r="B14" s="19" t="s">
        <v>31</v>
      </c>
      <c r="C14" s="19" t="s">
        <v>22</v>
      </c>
      <c r="D14" s="20">
        <v>500000</v>
      </c>
      <c r="E14" s="21">
        <f t="shared" si="0"/>
        <v>8</v>
      </c>
      <c r="F14" s="21"/>
    </row>
    <row r="15" spans="2:6" x14ac:dyDescent="0.25">
      <c r="B15" s="19" t="s">
        <v>31</v>
      </c>
      <c r="C15" s="19" t="s">
        <v>35</v>
      </c>
      <c r="D15" s="20">
        <v>500000</v>
      </c>
      <c r="E15" s="21">
        <f t="shared" si="0"/>
        <v>8</v>
      </c>
      <c r="F15" s="21"/>
    </row>
    <row r="16" spans="2:6" x14ac:dyDescent="0.25">
      <c r="B16" s="19" t="s">
        <v>31</v>
      </c>
      <c r="C16" s="19" t="s">
        <v>20</v>
      </c>
      <c r="D16" s="20">
        <v>548600</v>
      </c>
      <c r="E16" s="21">
        <f t="shared" si="0"/>
        <v>5</v>
      </c>
      <c r="F16" s="21"/>
    </row>
    <row r="19" spans="6:6" x14ac:dyDescent="0.25">
      <c r="F19" s="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Sayfa1</vt:lpstr>
      <vt:lpstr>Sayfa2</vt:lpstr>
      <vt:lpstr>Sayfa3</vt:lpstr>
      <vt:lpstr>Sayfa4</vt:lpstr>
      <vt:lpstr>Sayfa5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2021-04-08T13:11:05Z</dcterms:created>
  <dcterms:modified xsi:type="dcterms:W3CDTF">2021-04-12T17:02:16Z</dcterms:modified>
</cp:coreProperties>
</file>